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120575\AppData\Local\Microsoft\Windows\INetCache\Content.Outlook\0DWK0NW1\"/>
    </mc:Choice>
  </mc:AlternateContent>
  <xr:revisionPtr revIDLastSave="0" documentId="13_ncr:1_{375F46B4-A282-48D2-93A8-C74CA6B2A24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istory" sheetId="4" r:id="rId1"/>
    <sheet name="Input_disp_check" sheetId="3" r:id="rId2"/>
    <sheet name="Stress_check" sheetId="1" r:id="rId3"/>
    <sheet name="profile_H" sheetId="2" r:id="rId4"/>
    <sheet name="profile_C" sheetId="5" r:id="rId5"/>
    <sheet name="profile_L" sheetId="7" r:id="rId6"/>
  </sheets>
  <definedNames>
    <definedName name="_xlnm.Print_Area" localSheetId="1">Input_disp_check!#REF!</definedName>
    <definedName name="_xlnm.Print_Area" localSheetId="2">Stress_check!$B$1:$E$30</definedName>
    <definedName name="_xlnm.Print_Titles" localSheetId="1">Input_disp_check!$1:$60</definedName>
    <definedName name="_xlnm.Print_Titles" localSheetId="2">Stress_check!$1:$12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7" l="1"/>
  <c r="Q7" i="7"/>
  <c r="Q6" i="7"/>
  <c r="C10" i="3"/>
  <c r="AK8" i="7"/>
  <c r="AK7" i="7"/>
  <c r="AJ6" i="7"/>
  <c r="AK6" i="7"/>
  <c r="X8" i="7"/>
  <c r="X7" i="7"/>
  <c r="AB8" i="7"/>
  <c r="AA8" i="7"/>
  <c r="AB7" i="7"/>
  <c r="AA7" i="7"/>
  <c r="AB6" i="7"/>
  <c r="AA6" i="7"/>
  <c r="X6" i="7"/>
  <c r="U8" i="7"/>
  <c r="T8" i="7"/>
  <c r="S8" i="7"/>
  <c r="U7" i="7"/>
  <c r="T7" i="7"/>
  <c r="S7" i="7"/>
  <c r="U6" i="7"/>
  <c r="T6" i="7"/>
  <c r="S6" i="7"/>
  <c r="AJ8" i="7"/>
  <c r="AJ7" i="7"/>
  <c r="R8" i="7"/>
  <c r="R7" i="7"/>
  <c r="R6" i="7"/>
  <c r="O8" i="7"/>
  <c r="O7" i="7"/>
  <c r="O6" i="7"/>
  <c r="K8" i="7"/>
  <c r="K7" i="7"/>
  <c r="K6" i="7"/>
  <c r="J8" i="7"/>
  <c r="J7" i="7"/>
  <c r="J6" i="7"/>
  <c r="H8" i="7"/>
  <c r="H7" i="7"/>
  <c r="G8" i="7"/>
  <c r="G7" i="7"/>
  <c r="G6" i="7"/>
  <c r="H6" i="7"/>
  <c r="X91" i="3"/>
  <c r="L91" i="3"/>
  <c r="J91" i="3"/>
  <c r="I91" i="3"/>
  <c r="X90" i="3"/>
  <c r="L90" i="3"/>
  <c r="J90" i="3"/>
  <c r="I90" i="3"/>
  <c r="X89" i="3"/>
  <c r="L89" i="3"/>
  <c r="J89" i="3"/>
  <c r="I89" i="3"/>
  <c r="X88" i="3"/>
  <c r="L88" i="3"/>
  <c r="J88" i="3"/>
  <c r="I88" i="3"/>
  <c r="X87" i="3"/>
  <c r="L87" i="3"/>
  <c r="J87" i="3"/>
  <c r="I87" i="3"/>
  <c r="AT43" i="1"/>
  <c r="AE43" i="1"/>
  <c r="W43" i="1"/>
  <c r="U43" i="1"/>
  <c r="T43" i="1"/>
  <c r="F43" i="1"/>
  <c r="E43" i="1"/>
  <c r="D43" i="1"/>
  <c r="C43" i="1"/>
  <c r="AT42" i="1"/>
  <c r="AE42" i="1"/>
  <c r="W42" i="1"/>
  <c r="U42" i="1"/>
  <c r="T42" i="1"/>
  <c r="F42" i="1"/>
  <c r="E42" i="1"/>
  <c r="D42" i="1"/>
  <c r="C42" i="1"/>
  <c r="X67" i="3"/>
  <c r="L67" i="3"/>
  <c r="J67" i="3"/>
  <c r="I67" i="3"/>
  <c r="X66" i="3"/>
  <c r="L66" i="3"/>
  <c r="J66" i="3"/>
  <c r="I66" i="3"/>
  <c r="X47" i="3"/>
  <c r="L47" i="3"/>
  <c r="J47" i="3"/>
  <c r="I47" i="3"/>
  <c r="X44" i="3"/>
  <c r="L44" i="3"/>
  <c r="J44" i="3"/>
  <c r="I44" i="3"/>
  <c r="AT19" i="1"/>
  <c r="AE19" i="1"/>
  <c r="W19" i="1"/>
  <c r="U19" i="1"/>
  <c r="T19" i="1"/>
  <c r="F19" i="1"/>
  <c r="E19" i="1"/>
  <c r="D19" i="1"/>
  <c r="C19" i="1"/>
  <c r="AT16" i="1"/>
  <c r="AE16" i="1"/>
  <c r="W16" i="1"/>
  <c r="U16" i="1"/>
  <c r="T16" i="1"/>
  <c r="F16" i="1"/>
  <c r="E16" i="1"/>
  <c r="D16" i="1"/>
  <c r="C16" i="1"/>
  <c r="AT18" i="1"/>
  <c r="AE18" i="1"/>
  <c r="W18" i="1"/>
  <c r="U18" i="1"/>
  <c r="T18" i="1"/>
  <c r="F18" i="1"/>
  <c r="E18" i="1"/>
  <c r="D18" i="1"/>
  <c r="C18" i="1"/>
  <c r="AT17" i="1"/>
  <c r="AE17" i="1"/>
  <c r="W17" i="1"/>
  <c r="U17" i="1"/>
  <c r="T17" i="1"/>
  <c r="F17" i="1"/>
  <c r="E17" i="1"/>
  <c r="D17" i="1"/>
  <c r="C17" i="1"/>
  <c r="AT15" i="1"/>
  <c r="AE15" i="1"/>
  <c r="W15" i="1"/>
  <c r="U15" i="1"/>
  <c r="T15" i="1"/>
  <c r="F15" i="1"/>
  <c r="E15" i="1"/>
  <c r="D15" i="1"/>
  <c r="C15" i="1"/>
  <c r="AT20" i="1"/>
  <c r="AE20" i="1"/>
  <c r="W20" i="1"/>
  <c r="U20" i="1"/>
  <c r="T20" i="1"/>
  <c r="F20" i="1"/>
  <c r="E20" i="1"/>
  <c r="D20" i="1"/>
  <c r="C20" i="1"/>
  <c r="X46" i="3"/>
  <c r="L46" i="3"/>
  <c r="J46" i="3"/>
  <c r="I46" i="3"/>
  <c r="X45" i="3"/>
  <c r="L45" i="3"/>
  <c r="J45" i="3"/>
  <c r="I45" i="3"/>
  <c r="X43" i="3"/>
  <c r="L43" i="3"/>
  <c r="J43" i="3"/>
  <c r="I43" i="3"/>
  <c r="X48" i="3"/>
  <c r="L48" i="3"/>
  <c r="J48" i="3"/>
  <c r="I48" i="3"/>
  <c r="X77" i="3"/>
  <c r="X76" i="3"/>
  <c r="X75" i="3"/>
  <c r="X74" i="3"/>
  <c r="X73" i="3"/>
  <c r="X72" i="3"/>
  <c r="X71" i="3"/>
  <c r="X70" i="3"/>
  <c r="X69" i="3"/>
  <c r="X68" i="3"/>
  <c r="X65" i="3"/>
  <c r="AT28" i="1"/>
  <c r="AE28" i="1"/>
  <c r="W28" i="1"/>
  <c r="U28" i="1"/>
  <c r="T28" i="1"/>
  <c r="F28" i="1"/>
  <c r="E28" i="1"/>
  <c r="D28" i="1"/>
  <c r="C28" i="1"/>
  <c r="I50" i="3"/>
  <c r="J50" i="3"/>
  <c r="L50" i="3"/>
  <c r="N50" i="3"/>
  <c r="X50" i="3"/>
  <c r="I51" i="3"/>
  <c r="J51" i="3"/>
  <c r="L51" i="3"/>
  <c r="X51" i="3"/>
  <c r="I52" i="3"/>
  <c r="J52" i="3"/>
  <c r="L52" i="3"/>
  <c r="N52" i="3"/>
  <c r="X52" i="3"/>
  <c r="I53" i="3"/>
  <c r="J53" i="3"/>
  <c r="L53" i="3"/>
  <c r="N53" i="3"/>
  <c r="X53" i="3"/>
  <c r="I54" i="3"/>
  <c r="J54" i="3"/>
  <c r="L54" i="3"/>
  <c r="X54" i="3"/>
  <c r="I55" i="3"/>
  <c r="J55" i="3"/>
  <c r="L55" i="3"/>
  <c r="N55" i="3"/>
  <c r="X55" i="3"/>
  <c r="I56" i="3"/>
  <c r="J56" i="3"/>
  <c r="L56" i="3"/>
  <c r="X56" i="3"/>
  <c r="X49" i="3"/>
  <c r="X42" i="3"/>
  <c r="AT53" i="1"/>
  <c r="AE53" i="1"/>
  <c r="W53" i="1"/>
  <c r="U53" i="1"/>
  <c r="T53" i="1"/>
  <c r="F53" i="1"/>
  <c r="E53" i="1"/>
  <c r="D53" i="1"/>
  <c r="C53" i="1"/>
  <c r="AT52" i="1"/>
  <c r="AE52" i="1"/>
  <c r="W52" i="1"/>
  <c r="U52" i="1"/>
  <c r="T52" i="1"/>
  <c r="F52" i="1"/>
  <c r="E52" i="1"/>
  <c r="D52" i="1"/>
  <c r="C52" i="1"/>
  <c r="AT51" i="1"/>
  <c r="AE51" i="1"/>
  <c r="W51" i="1"/>
  <c r="U51" i="1"/>
  <c r="T51" i="1"/>
  <c r="F51" i="1"/>
  <c r="E51" i="1"/>
  <c r="D51" i="1"/>
  <c r="C51" i="1"/>
  <c r="AE50" i="1"/>
  <c r="AE49" i="1"/>
  <c r="AE48" i="1"/>
  <c r="AE47" i="1"/>
  <c r="AE46" i="1"/>
  <c r="AE45" i="1"/>
  <c r="AE44" i="1"/>
  <c r="AE41" i="1"/>
  <c r="AT50" i="1"/>
  <c r="W50" i="1"/>
  <c r="U50" i="1"/>
  <c r="T50" i="1"/>
  <c r="F50" i="1"/>
  <c r="E50" i="1"/>
  <c r="D50" i="1"/>
  <c r="C50" i="1"/>
  <c r="AT49" i="1"/>
  <c r="W49" i="1"/>
  <c r="U49" i="1"/>
  <c r="T49" i="1"/>
  <c r="F49" i="1"/>
  <c r="E49" i="1"/>
  <c r="D49" i="1"/>
  <c r="C49" i="1"/>
  <c r="AT48" i="1"/>
  <c r="W48" i="1"/>
  <c r="U48" i="1"/>
  <c r="T48" i="1"/>
  <c r="F48" i="1"/>
  <c r="E48" i="1"/>
  <c r="D48" i="1"/>
  <c r="C48" i="1"/>
  <c r="AT47" i="1"/>
  <c r="W47" i="1"/>
  <c r="U47" i="1"/>
  <c r="T47" i="1"/>
  <c r="F47" i="1"/>
  <c r="E47" i="1"/>
  <c r="D47" i="1"/>
  <c r="C47" i="1"/>
  <c r="AT46" i="1"/>
  <c r="W46" i="1"/>
  <c r="U46" i="1"/>
  <c r="T46" i="1"/>
  <c r="F46" i="1"/>
  <c r="E46" i="1"/>
  <c r="D46" i="1"/>
  <c r="C46" i="1"/>
  <c r="AT45" i="1"/>
  <c r="W45" i="1"/>
  <c r="U45" i="1"/>
  <c r="T45" i="1"/>
  <c r="F45" i="1"/>
  <c r="E45" i="1"/>
  <c r="D45" i="1"/>
  <c r="C45" i="1"/>
  <c r="AT44" i="1"/>
  <c r="W44" i="1"/>
  <c r="U44" i="1"/>
  <c r="T44" i="1"/>
  <c r="F44" i="1"/>
  <c r="E44" i="1"/>
  <c r="D44" i="1"/>
  <c r="C44" i="1"/>
  <c r="E41" i="1"/>
  <c r="D41" i="1"/>
  <c r="C41" i="1"/>
  <c r="AT41" i="1"/>
  <c r="W41" i="1"/>
  <c r="U41" i="1"/>
  <c r="T41" i="1"/>
  <c r="F41" i="1"/>
  <c r="L77" i="3"/>
  <c r="J77" i="3"/>
  <c r="I77" i="3"/>
  <c r="L76" i="3"/>
  <c r="J76" i="3"/>
  <c r="I76" i="3"/>
  <c r="L75" i="3"/>
  <c r="J75" i="3"/>
  <c r="I75" i="3"/>
  <c r="L74" i="3"/>
  <c r="J74" i="3"/>
  <c r="I74" i="3"/>
  <c r="L73" i="3"/>
  <c r="J73" i="3"/>
  <c r="I73" i="3"/>
  <c r="L72" i="3"/>
  <c r="J72" i="3"/>
  <c r="I72" i="3"/>
  <c r="P7" i="5"/>
  <c r="L71" i="3"/>
  <c r="J71" i="3"/>
  <c r="I71" i="3"/>
  <c r="L70" i="3"/>
  <c r="J70" i="3"/>
  <c r="I70" i="3"/>
  <c r="L69" i="3"/>
  <c r="J69" i="3"/>
  <c r="I69" i="3"/>
  <c r="L68" i="3"/>
  <c r="J68" i="3"/>
  <c r="I68" i="3"/>
  <c r="P8" i="5"/>
  <c r="AA6" i="5"/>
  <c r="L65" i="3"/>
  <c r="J65" i="3"/>
  <c r="I65" i="3"/>
  <c r="P6" i="5"/>
  <c r="Y9" i="5"/>
  <c r="Y8" i="5"/>
  <c r="Y7" i="5"/>
  <c r="Y6" i="5"/>
  <c r="X9" i="5"/>
  <c r="X8" i="5"/>
  <c r="X7" i="5"/>
  <c r="J6" i="5"/>
  <c r="G9" i="5"/>
  <c r="H9" i="5"/>
  <c r="H8" i="5"/>
  <c r="H7" i="5"/>
  <c r="H6" i="5"/>
  <c r="G8" i="5"/>
  <c r="G7" i="5"/>
  <c r="G6" i="5"/>
  <c r="U9" i="5"/>
  <c r="T9" i="5"/>
  <c r="S9" i="5"/>
  <c r="R9" i="5"/>
  <c r="Q9" i="5"/>
  <c r="I9" i="5"/>
  <c r="U8" i="5"/>
  <c r="T8" i="5"/>
  <c r="S8" i="5"/>
  <c r="R8" i="5"/>
  <c r="Q8" i="5"/>
  <c r="I8" i="5"/>
  <c r="U7" i="5"/>
  <c r="T7" i="5"/>
  <c r="S7" i="5"/>
  <c r="R7" i="5"/>
  <c r="Q7" i="5"/>
  <c r="I7" i="5"/>
  <c r="U6" i="5"/>
  <c r="T6" i="5"/>
  <c r="S6" i="5"/>
  <c r="R6" i="5"/>
  <c r="Q6" i="5"/>
  <c r="I6" i="5"/>
  <c r="U14" i="2"/>
  <c r="T14" i="2"/>
  <c r="S14" i="2"/>
  <c r="R14" i="2"/>
  <c r="Q14" i="2"/>
  <c r="I14" i="2"/>
  <c r="G14" i="2"/>
  <c r="I13" i="2"/>
  <c r="I12" i="2"/>
  <c r="G13" i="2"/>
  <c r="G12" i="2"/>
  <c r="I11" i="2"/>
  <c r="G11" i="2"/>
  <c r="T13" i="2"/>
  <c r="T12" i="2"/>
  <c r="T11" i="2"/>
  <c r="T9" i="2"/>
  <c r="U13" i="2"/>
  <c r="U12" i="2"/>
  <c r="U11" i="2"/>
  <c r="U9" i="2"/>
  <c r="I9" i="2"/>
  <c r="G9" i="2"/>
  <c r="AT27" i="1"/>
  <c r="AE27" i="1"/>
  <c r="W27" i="1"/>
  <c r="U27" i="1"/>
  <c r="T27" i="1"/>
  <c r="F27" i="1"/>
  <c r="E27" i="1"/>
  <c r="D27" i="1"/>
  <c r="C27" i="1"/>
  <c r="D26" i="1"/>
  <c r="D25" i="1"/>
  <c r="D24" i="1"/>
  <c r="D23" i="1"/>
  <c r="D22" i="1"/>
  <c r="D21" i="1"/>
  <c r="D14" i="1"/>
  <c r="E26" i="1"/>
  <c r="E25" i="1"/>
  <c r="E24" i="1"/>
  <c r="E23" i="1"/>
  <c r="E22" i="1"/>
  <c r="E21" i="1"/>
  <c r="E14" i="1"/>
  <c r="C26" i="1"/>
  <c r="C25" i="1"/>
  <c r="C24" i="1"/>
  <c r="C23" i="1"/>
  <c r="C22" i="1"/>
  <c r="C21" i="1"/>
  <c r="AT26" i="1"/>
  <c r="AE26" i="1"/>
  <c r="W26" i="1"/>
  <c r="U26" i="1"/>
  <c r="T26" i="1"/>
  <c r="F26" i="1"/>
  <c r="AT25" i="1"/>
  <c r="AE25" i="1"/>
  <c r="W25" i="1"/>
  <c r="U25" i="1"/>
  <c r="T25" i="1"/>
  <c r="F25" i="1"/>
  <c r="AT22" i="1"/>
  <c r="AE22" i="1"/>
  <c r="W22" i="1"/>
  <c r="U22" i="1"/>
  <c r="T22" i="1"/>
  <c r="F22" i="1"/>
  <c r="AT21" i="1"/>
  <c r="AE21" i="1"/>
  <c r="W21" i="1"/>
  <c r="U21" i="1"/>
  <c r="T21" i="1"/>
  <c r="F21" i="1"/>
  <c r="L49" i="3"/>
  <c r="M49" i="3" s="1"/>
  <c r="J49" i="3"/>
  <c r="K49" i="3" s="1"/>
  <c r="O49" i="3" s="1"/>
  <c r="I49" i="3"/>
  <c r="AE24" i="1"/>
  <c r="L42" i="3"/>
  <c r="J42" i="3"/>
  <c r="K42" i="3" s="1"/>
  <c r="C14" i="1"/>
  <c r="AT24" i="1"/>
  <c r="W24" i="1"/>
  <c r="U24" i="1"/>
  <c r="T24" i="1"/>
  <c r="F24" i="1"/>
  <c r="AT23" i="1"/>
  <c r="AE23" i="1"/>
  <c r="W23" i="1"/>
  <c r="U23" i="1"/>
  <c r="T23" i="1"/>
  <c r="F23" i="1"/>
  <c r="I42" i="3"/>
  <c r="AT14" i="1"/>
  <c r="AE14" i="1"/>
  <c r="W14" i="1"/>
  <c r="U14" i="1"/>
  <c r="T14" i="1"/>
  <c r="F14" i="1"/>
  <c r="S13" i="2"/>
  <c r="R13" i="2"/>
  <c r="Q13" i="2"/>
  <c r="S12" i="2"/>
  <c r="R12" i="2"/>
  <c r="Q12" i="2"/>
  <c r="S11" i="2"/>
  <c r="R11" i="2"/>
  <c r="Q11" i="2"/>
  <c r="U10" i="2"/>
  <c r="T10" i="2"/>
  <c r="S10" i="2"/>
  <c r="R10" i="2"/>
  <c r="Q10" i="2"/>
  <c r="I10" i="2"/>
  <c r="S9" i="2"/>
  <c r="R9" i="2"/>
  <c r="Q9" i="2"/>
  <c r="U8" i="2"/>
  <c r="T8" i="2"/>
  <c r="S8" i="2"/>
  <c r="R8" i="2"/>
  <c r="Q8" i="2"/>
  <c r="I8" i="2"/>
  <c r="U7" i="2"/>
  <c r="T7" i="2"/>
  <c r="S7" i="2"/>
  <c r="R7" i="2"/>
  <c r="Q7" i="2"/>
  <c r="I7" i="2"/>
  <c r="U6" i="2"/>
  <c r="T6" i="2"/>
  <c r="S6" i="2"/>
  <c r="R6" i="2"/>
  <c r="Q6" i="2"/>
  <c r="I6" i="2"/>
  <c r="V8" i="7" l="1"/>
  <c r="V7" i="7"/>
  <c r="V6" i="7"/>
  <c r="M8" i="7"/>
  <c r="N8" i="7"/>
  <c r="M7" i="7"/>
  <c r="M6" i="7"/>
  <c r="N7" i="7"/>
  <c r="N6" i="7"/>
  <c r="M91" i="3"/>
  <c r="V91" i="3" s="1"/>
  <c r="N91" i="3"/>
  <c r="K91" i="3"/>
  <c r="O91" i="3" s="1"/>
  <c r="N90" i="3"/>
  <c r="M90" i="3"/>
  <c r="K90" i="3"/>
  <c r="O90" i="3" s="1"/>
  <c r="N89" i="3"/>
  <c r="M89" i="3"/>
  <c r="K89" i="3"/>
  <c r="O89" i="3" s="1"/>
  <c r="M88" i="3"/>
  <c r="K88" i="3"/>
  <c r="O88" i="3" s="1"/>
  <c r="M87" i="3"/>
  <c r="K87" i="3"/>
  <c r="O87" i="3" s="1"/>
  <c r="N88" i="3"/>
  <c r="N87" i="3"/>
  <c r="T87" i="3" s="1"/>
  <c r="H43" i="1"/>
  <c r="AU43" i="1"/>
  <c r="AV43" i="1" s="1"/>
  <c r="AW43" i="1" s="1"/>
  <c r="AH43" i="1"/>
  <c r="AG43" i="1"/>
  <c r="Z43" i="1"/>
  <c r="R43" i="1"/>
  <c r="P43" i="1"/>
  <c r="O43" i="1"/>
  <c r="M43" i="1"/>
  <c r="AU42" i="1"/>
  <c r="AV42" i="1" s="1"/>
  <c r="AW42" i="1" s="1"/>
  <c r="AH42" i="1"/>
  <c r="AG42" i="1"/>
  <c r="Z42" i="1"/>
  <c r="R42" i="1"/>
  <c r="P42" i="1"/>
  <c r="O42" i="1"/>
  <c r="M42" i="1"/>
  <c r="H42" i="1"/>
  <c r="N67" i="3"/>
  <c r="M67" i="3"/>
  <c r="K67" i="3"/>
  <c r="O67" i="3" s="1"/>
  <c r="M66" i="3"/>
  <c r="K66" i="3"/>
  <c r="O66" i="3" s="1"/>
  <c r="N66" i="3"/>
  <c r="N47" i="3"/>
  <c r="M47" i="3"/>
  <c r="K47" i="3"/>
  <c r="O47" i="3" s="1"/>
  <c r="N44" i="3"/>
  <c r="M44" i="3"/>
  <c r="K44" i="3"/>
  <c r="O44" i="3" s="1"/>
  <c r="M19" i="1"/>
  <c r="Z19" i="1"/>
  <c r="O19" i="1"/>
  <c r="AU19" i="1"/>
  <c r="R19" i="1"/>
  <c r="P19" i="1"/>
  <c r="AG19" i="1"/>
  <c r="AH19" i="1"/>
  <c r="H19" i="1"/>
  <c r="AU16" i="1"/>
  <c r="AV16" i="1" s="1"/>
  <c r="AW16" i="1" s="1"/>
  <c r="AH16" i="1"/>
  <c r="AG16" i="1"/>
  <c r="Z16" i="1"/>
  <c r="R16" i="1"/>
  <c r="P16" i="1"/>
  <c r="O16" i="1"/>
  <c r="Q16" i="1" s="1"/>
  <c r="M16" i="1"/>
  <c r="H16" i="1"/>
  <c r="M20" i="1"/>
  <c r="R20" i="1"/>
  <c r="P20" i="1"/>
  <c r="O20" i="1"/>
  <c r="AH20" i="1"/>
  <c r="AG20" i="1"/>
  <c r="AU20" i="1"/>
  <c r="Z20" i="1"/>
  <c r="AU18" i="1"/>
  <c r="AV18" i="1" s="1"/>
  <c r="AW18" i="1" s="1"/>
  <c r="AH18" i="1"/>
  <c r="AG18" i="1"/>
  <c r="Z18" i="1"/>
  <c r="R18" i="1"/>
  <c r="P18" i="1"/>
  <c r="O18" i="1"/>
  <c r="M18" i="1"/>
  <c r="H18" i="1"/>
  <c r="AU17" i="1"/>
  <c r="AV17" i="1" s="1"/>
  <c r="AW17" i="1" s="1"/>
  <c r="AG17" i="1"/>
  <c r="H17" i="1"/>
  <c r="AH17" i="1"/>
  <c r="Z17" i="1"/>
  <c r="R17" i="1"/>
  <c r="P17" i="1"/>
  <c r="O17" i="1"/>
  <c r="M17" i="1"/>
  <c r="AU15" i="1"/>
  <c r="AV15" i="1" s="1"/>
  <c r="AW15" i="1" s="1"/>
  <c r="AH15" i="1"/>
  <c r="AG15" i="1"/>
  <c r="Z15" i="1"/>
  <c r="R15" i="1"/>
  <c r="P15" i="1"/>
  <c r="O15" i="1"/>
  <c r="M15" i="1"/>
  <c r="H15" i="1"/>
  <c r="H20" i="1"/>
  <c r="N46" i="3"/>
  <c r="M46" i="3"/>
  <c r="K46" i="3"/>
  <c r="O46" i="3" s="1"/>
  <c r="K45" i="3"/>
  <c r="O45" i="3" s="1"/>
  <c r="N45" i="3"/>
  <c r="M45" i="3"/>
  <c r="N43" i="3"/>
  <c r="M43" i="3"/>
  <c r="K43" i="3"/>
  <c r="O43" i="3" s="1"/>
  <c r="N51" i="3"/>
  <c r="N48" i="3"/>
  <c r="M48" i="3"/>
  <c r="K48" i="3"/>
  <c r="O48" i="3" s="1"/>
  <c r="Z44" i="1"/>
  <c r="N54" i="3"/>
  <c r="M56" i="3"/>
  <c r="K55" i="3"/>
  <c r="M55" i="3"/>
  <c r="K54" i="3"/>
  <c r="M54" i="3"/>
  <c r="K53" i="3"/>
  <c r="M53" i="3"/>
  <c r="O53" i="3"/>
  <c r="P53" i="3" s="1"/>
  <c r="M52" i="3"/>
  <c r="K52" i="3"/>
  <c r="T52" i="3"/>
  <c r="K51" i="3"/>
  <c r="M50" i="3"/>
  <c r="K50" i="3"/>
  <c r="AU28" i="1"/>
  <c r="AV28" i="1" s="1"/>
  <c r="AW28" i="1" s="1"/>
  <c r="AH28" i="1"/>
  <c r="AG28" i="1"/>
  <c r="Z28" i="1"/>
  <c r="R28" i="1"/>
  <c r="P28" i="1"/>
  <c r="O28" i="1"/>
  <c r="M28" i="1"/>
  <c r="H28" i="1"/>
  <c r="K56" i="3"/>
  <c r="O56" i="3" s="1"/>
  <c r="N56" i="3"/>
  <c r="M51" i="3"/>
  <c r="AU53" i="1"/>
  <c r="AV53" i="1" s="1"/>
  <c r="AW53" i="1" s="1"/>
  <c r="R53" i="1"/>
  <c r="AG53" i="1"/>
  <c r="P53" i="1"/>
  <c r="O53" i="1"/>
  <c r="M53" i="1"/>
  <c r="H53" i="1"/>
  <c r="AH53" i="1"/>
  <c r="Z53" i="1"/>
  <c r="R52" i="1"/>
  <c r="AU52" i="1"/>
  <c r="AV52" i="1" s="1"/>
  <c r="AW52" i="1" s="1"/>
  <c r="AH52" i="1"/>
  <c r="AG52" i="1"/>
  <c r="Z52" i="1"/>
  <c r="P52" i="1"/>
  <c r="O52" i="1"/>
  <c r="M52" i="1"/>
  <c r="H52" i="1"/>
  <c r="AU51" i="1"/>
  <c r="AV51" i="1" s="1"/>
  <c r="AW51" i="1" s="1"/>
  <c r="AH51" i="1"/>
  <c r="P51" i="1"/>
  <c r="O51" i="1"/>
  <c r="M51" i="1"/>
  <c r="H51" i="1"/>
  <c r="AG51" i="1"/>
  <c r="Z51" i="1"/>
  <c r="R51" i="1"/>
  <c r="AU41" i="1"/>
  <c r="AH41" i="1"/>
  <c r="AG41" i="1"/>
  <c r="Z41" i="1"/>
  <c r="R41" i="1"/>
  <c r="P41" i="1"/>
  <c r="O41" i="1"/>
  <c r="M41" i="1"/>
  <c r="H41" i="1"/>
  <c r="I41" i="1" s="1"/>
  <c r="R50" i="1"/>
  <c r="P50" i="1"/>
  <c r="O50" i="1"/>
  <c r="M50" i="1"/>
  <c r="H50" i="1"/>
  <c r="I50" i="1" s="1"/>
  <c r="AU50" i="1"/>
  <c r="AV50" i="1" s="1"/>
  <c r="AW50" i="1" s="1"/>
  <c r="AH50" i="1"/>
  <c r="AG50" i="1"/>
  <c r="Z50" i="1"/>
  <c r="AU49" i="1"/>
  <c r="AV49" i="1" s="1"/>
  <c r="AW49" i="1" s="1"/>
  <c r="AH49" i="1"/>
  <c r="P49" i="1"/>
  <c r="O49" i="1"/>
  <c r="M49" i="1"/>
  <c r="H49" i="1"/>
  <c r="I49" i="1" s="1"/>
  <c r="R49" i="1"/>
  <c r="AG49" i="1"/>
  <c r="Z49" i="1"/>
  <c r="AU48" i="1"/>
  <c r="AV48" i="1" s="1"/>
  <c r="AW48" i="1" s="1"/>
  <c r="AH48" i="1"/>
  <c r="AG48" i="1"/>
  <c r="Z48" i="1"/>
  <c r="R48" i="1"/>
  <c r="P48" i="1"/>
  <c r="O48" i="1"/>
  <c r="M48" i="1"/>
  <c r="H48" i="1"/>
  <c r="I48" i="1" s="1"/>
  <c r="R47" i="1"/>
  <c r="P47" i="1"/>
  <c r="O47" i="1"/>
  <c r="M47" i="1"/>
  <c r="H47" i="1"/>
  <c r="I47" i="1" s="1"/>
  <c r="AU47" i="1"/>
  <c r="AV47" i="1" s="1"/>
  <c r="AW47" i="1" s="1"/>
  <c r="AH47" i="1"/>
  <c r="AG47" i="1"/>
  <c r="Z47" i="1"/>
  <c r="AU46" i="1"/>
  <c r="AV46" i="1" s="1"/>
  <c r="AW46" i="1" s="1"/>
  <c r="AH46" i="1"/>
  <c r="AG46" i="1"/>
  <c r="Z46" i="1"/>
  <c r="R46" i="1"/>
  <c r="P46" i="1"/>
  <c r="O46" i="1"/>
  <c r="M46" i="1"/>
  <c r="H46" i="1"/>
  <c r="I46" i="1" s="1"/>
  <c r="AU45" i="1"/>
  <c r="AV45" i="1" s="1"/>
  <c r="AW45" i="1" s="1"/>
  <c r="AH45" i="1"/>
  <c r="AG45" i="1"/>
  <c r="Z45" i="1"/>
  <c r="R45" i="1"/>
  <c r="P45" i="1"/>
  <c r="O45" i="1"/>
  <c r="M45" i="1"/>
  <c r="H45" i="1"/>
  <c r="I45" i="1" s="1"/>
  <c r="AU44" i="1"/>
  <c r="AV44" i="1" s="1"/>
  <c r="AW44" i="1" s="1"/>
  <c r="AH44" i="1"/>
  <c r="AG44" i="1"/>
  <c r="R44" i="1"/>
  <c r="H44" i="1"/>
  <c r="I44" i="1" s="1"/>
  <c r="P44" i="1"/>
  <c r="O44" i="1"/>
  <c r="M44" i="1"/>
  <c r="N77" i="3"/>
  <c r="M77" i="3"/>
  <c r="K77" i="3"/>
  <c r="O77" i="3" s="1"/>
  <c r="N76" i="3"/>
  <c r="M76" i="3"/>
  <c r="K76" i="3"/>
  <c r="O76" i="3" s="1"/>
  <c r="N75" i="3"/>
  <c r="M75" i="3"/>
  <c r="K75" i="3"/>
  <c r="O75" i="3" s="1"/>
  <c r="X6" i="5"/>
  <c r="N74" i="3"/>
  <c r="M74" i="3"/>
  <c r="K74" i="3"/>
  <c r="O74" i="3" s="1"/>
  <c r="N73" i="3"/>
  <c r="M73" i="3"/>
  <c r="K73" i="3"/>
  <c r="O73" i="3" s="1"/>
  <c r="N72" i="3"/>
  <c r="M72" i="3"/>
  <c r="K72" i="3"/>
  <c r="O72" i="3" s="1"/>
  <c r="M71" i="3"/>
  <c r="K71" i="3"/>
  <c r="O71" i="3" s="1"/>
  <c r="N71" i="3"/>
  <c r="N70" i="3"/>
  <c r="M70" i="3"/>
  <c r="K70" i="3"/>
  <c r="O70" i="3" s="1"/>
  <c r="N69" i="3"/>
  <c r="K69" i="3"/>
  <c r="O69" i="3" s="1"/>
  <c r="S69" i="3"/>
  <c r="M69" i="3"/>
  <c r="N68" i="3"/>
  <c r="M68" i="3"/>
  <c r="K68" i="3"/>
  <c r="O68" i="3" s="1"/>
  <c r="N65" i="3"/>
  <c r="M65" i="3"/>
  <c r="K65" i="3"/>
  <c r="R22" i="1"/>
  <c r="AU27" i="1"/>
  <c r="AV27" i="1" s="1"/>
  <c r="AW27" i="1" s="1"/>
  <c r="R27" i="1"/>
  <c r="P27" i="1"/>
  <c r="O27" i="1"/>
  <c r="M27" i="1"/>
  <c r="H27" i="1"/>
  <c r="AH27" i="1"/>
  <c r="AG27" i="1"/>
  <c r="Z27" i="1"/>
  <c r="M26" i="1"/>
  <c r="N26" i="1" s="1"/>
  <c r="AU26" i="1"/>
  <c r="AV26" i="1" s="1"/>
  <c r="AW26" i="1" s="1"/>
  <c r="P26" i="1"/>
  <c r="O26" i="1"/>
  <c r="R26" i="1"/>
  <c r="R25" i="1"/>
  <c r="S25" i="1" s="1"/>
  <c r="P25" i="1"/>
  <c r="O25" i="1"/>
  <c r="P24" i="1"/>
  <c r="O24" i="1"/>
  <c r="P23" i="1"/>
  <c r="O23" i="1"/>
  <c r="R21" i="1"/>
  <c r="P21" i="1"/>
  <c r="O21" i="1"/>
  <c r="H23" i="1"/>
  <c r="R24" i="1"/>
  <c r="R23" i="1"/>
  <c r="P22" i="1"/>
  <c r="O22" i="1"/>
  <c r="P14" i="1"/>
  <c r="O14" i="1"/>
  <c r="AU25" i="1"/>
  <c r="AV25" i="1" s="1"/>
  <c r="AW25" i="1" s="1"/>
  <c r="M25" i="1"/>
  <c r="N25" i="1" s="1"/>
  <c r="AU22" i="1"/>
  <c r="AV22" i="1" s="1"/>
  <c r="AW22" i="1" s="1"/>
  <c r="M22" i="1"/>
  <c r="N22" i="1" s="1"/>
  <c r="AH26" i="1"/>
  <c r="AG26" i="1"/>
  <c r="Z26" i="1"/>
  <c r="H26" i="1"/>
  <c r="AH25" i="1"/>
  <c r="AG25" i="1"/>
  <c r="Z25" i="1"/>
  <c r="H25" i="1"/>
  <c r="M21" i="1"/>
  <c r="N21" i="1" s="1"/>
  <c r="AU21" i="1"/>
  <c r="AV21" i="1" s="1"/>
  <c r="AW21" i="1" s="1"/>
  <c r="AH22" i="1"/>
  <c r="AG22" i="1"/>
  <c r="H22" i="1"/>
  <c r="Z22" i="1"/>
  <c r="AH21" i="1"/>
  <c r="AG21" i="1"/>
  <c r="Z21" i="1"/>
  <c r="H21" i="1"/>
  <c r="Q49" i="3"/>
  <c r="V49" i="3"/>
  <c r="N49" i="3"/>
  <c r="AG23" i="1"/>
  <c r="AH23" i="1"/>
  <c r="O42" i="3"/>
  <c r="N42" i="3"/>
  <c r="H24" i="1"/>
  <c r="AH24" i="1"/>
  <c r="AG24" i="1"/>
  <c r="M23" i="1"/>
  <c r="M42" i="3"/>
  <c r="Z23" i="1"/>
  <c r="Z24" i="1"/>
  <c r="AU24" i="1"/>
  <c r="AV24" i="1" s="1"/>
  <c r="AW24" i="1" s="1"/>
  <c r="M24" i="1"/>
  <c r="AU23" i="1"/>
  <c r="AV23" i="1" s="1"/>
  <c r="AW23" i="1" s="1"/>
  <c r="AU14" i="1"/>
  <c r="M14" i="1"/>
  <c r="N14" i="1" s="1"/>
  <c r="AG14" i="1"/>
  <c r="Z14" i="1"/>
  <c r="H14" i="1"/>
  <c r="I14" i="1" s="1"/>
  <c r="AH14" i="1"/>
  <c r="R14" i="1"/>
  <c r="Y7" i="7" l="1"/>
  <c r="V90" i="3"/>
  <c r="V89" i="3"/>
  <c r="V88" i="3"/>
  <c r="Y8" i="7"/>
  <c r="Y6" i="7"/>
  <c r="V87" i="3"/>
  <c r="Q43" i="1"/>
  <c r="S87" i="3"/>
  <c r="Q42" i="1"/>
  <c r="T91" i="3"/>
  <c r="S91" i="3"/>
  <c r="S90" i="3"/>
  <c r="T90" i="3"/>
  <c r="T89" i="3"/>
  <c r="S88" i="3"/>
  <c r="T88" i="3"/>
  <c r="S89" i="3"/>
  <c r="Q91" i="3"/>
  <c r="P91" i="3"/>
  <c r="P90" i="3"/>
  <c r="Q90" i="3"/>
  <c r="P89" i="3"/>
  <c r="Q89" i="3"/>
  <c r="Q88" i="3"/>
  <c r="Q87" i="3"/>
  <c r="P88" i="3"/>
  <c r="P87" i="3"/>
  <c r="AD43" i="1"/>
  <c r="AD42" i="1"/>
  <c r="AD16" i="1"/>
  <c r="I43" i="1"/>
  <c r="J43" i="1"/>
  <c r="K43" i="1"/>
  <c r="L43" i="1"/>
  <c r="N43" i="1"/>
  <c r="S43" i="1"/>
  <c r="AA43" i="1" s="1"/>
  <c r="N42" i="1"/>
  <c r="I42" i="1"/>
  <c r="J42" i="1"/>
  <c r="K42" i="1"/>
  <c r="L42" i="1"/>
  <c r="S42" i="1"/>
  <c r="AA42" i="1" s="1"/>
  <c r="Y19" i="1"/>
  <c r="X19" i="1"/>
  <c r="S19" i="1"/>
  <c r="Q19" i="1"/>
  <c r="P67" i="3"/>
  <c r="AC43" i="1" s="1"/>
  <c r="T67" i="3"/>
  <c r="Q67" i="3"/>
  <c r="AF43" i="1" s="1"/>
  <c r="V67" i="3"/>
  <c r="S67" i="3"/>
  <c r="Y67" i="3" s="1"/>
  <c r="Q66" i="3"/>
  <c r="AF42" i="1" s="1"/>
  <c r="V66" i="3"/>
  <c r="P66" i="3"/>
  <c r="AC42" i="1" s="1"/>
  <c r="T66" i="3"/>
  <c r="S66" i="3"/>
  <c r="AD19" i="1"/>
  <c r="AV19" i="1"/>
  <c r="AW19" i="1" s="1"/>
  <c r="N19" i="1"/>
  <c r="S44" i="3"/>
  <c r="P47" i="3"/>
  <c r="AC19" i="1" s="1"/>
  <c r="T47" i="3"/>
  <c r="Q47" i="3"/>
  <c r="AF19" i="1" s="1"/>
  <c r="V47" i="3"/>
  <c r="S47" i="3"/>
  <c r="P44" i="3"/>
  <c r="AC16" i="1" s="1"/>
  <c r="T44" i="3"/>
  <c r="Q44" i="3"/>
  <c r="AF16" i="1" s="1"/>
  <c r="V44" i="3"/>
  <c r="Q18" i="1"/>
  <c r="I19" i="1"/>
  <c r="J19" i="1"/>
  <c r="K19" i="1"/>
  <c r="N16" i="1"/>
  <c r="I16" i="1"/>
  <c r="J16" i="1"/>
  <c r="K16" i="1"/>
  <c r="Y16" i="1"/>
  <c r="S16" i="1"/>
  <c r="X16" i="1"/>
  <c r="S56" i="3"/>
  <c r="AD20" i="1"/>
  <c r="Q47" i="1"/>
  <c r="AD15" i="1"/>
  <c r="AD18" i="1"/>
  <c r="AD17" i="1"/>
  <c r="S45" i="3"/>
  <c r="N20" i="1"/>
  <c r="Y20" i="1"/>
  <c r="X20" i="1"/>
  <c r="S20" i="1"/>
  <c r="AA20" i="1" s="1"/>
  <c r="Q17" i="1"/>
  <c r="Q15" i="1"/>
  <c r="S18" i="1"/>
  <c r="Y18" i="1"/>
  <c r="AV20" i="1"/>
  <c r="AW20" i="1" s="1"/>
  <c r="Q20" i="1"/>
  <c r="N18" i="1"/>
  <c r="J18" i="1"/>
  <c r="I18" i="1"/>
  <c r="K18" i="1"/>
  <c r="X18" i="1"/>
  <c r="I17" i="1"/>
  <c r="J17" i="1"/>
  <c r="K17" i="1"/>
  <c r="N17" i="1"/>
  <c r="Y17" i="1"/>
  <c r="S17" i="1"/>
  <c r="X17" i="1"/>
  <c r="N15" i="1"/>
  <c r="I15" i="1"/>
  <c r="J15" i="1"/>
  <c r="K15" i="1"/>
  <c r="Y15" i="1"/>
  <c r="X15" i="1"/>
  <c r="S15" i="1"/>
  <c r="I20" i="1"/>
  <c r="J20" i="1"/>
  <c r="K20" i="1"/>
  <c r="P46" i="3"/>
  <c r="AC18" i="1" s="1"/>
  <c r="T46" i="3"/>
  <c r="Q46" i="3"/>
  <c r="AF18" i="1" s="1"/>
  <c r="V46" i="3"/>
  <c r="S46" i="3"/>
  <c r="P45" i="3"/>
  <c r="AC17" i="1" s="1"/>
  <c r="T45" i="3"/>
  <c r="Q45" i="3"/>
  <c r="AF17" i="1" s="1"/>
  <c r="V45" i="3"/>
  <c r="P43" i="3"/>
  <c r="AC15" i="1" s="1"/>
  <c r="T43" i="3"/>
  <c r="Q43" i="3"/>
  <c r="AF15" i="1" s="1"/>
  <c r="V43" i="3"/>
  <c r="S43" i="3"/>
  <c r="Y43" i="3" s="1"/>
  <c r="S52" i="1"/>
  <c r="P48" i="3"/>
  <c r="AC20" i="1" s="1"/>
  <c r="T48" i="3"/>
  <c r="Q48" i="3"/>
  <c r="AF20" i="1" s="1"/>
  <c r="V48" i="3"/>
  <c r="S48" i="3"/>
  <c r="Q28" i="1"/>
  <c r="Q51" i="1"/>
  <c r="Q50" i="1"/>
  <c r="AD41" i="1"/>
  <c r="Q56" i="3"/>
  <c r="AF28" i="1" s="1"/>
  <c r="V56" i="3"/>
  <c r="AD28" i="1"/>
  <c r="S55" i="3"/>
  <c r="T55" i="3"/>
  <c r="O55" i="3"/>
  <c r="P55" i="3" s="1"/>
  <c r="Q55" i="3"/>
  <c r="V55" i="3"/>
  <c r="O54" i="3"/>
  <c r="P54" i="3" s="1"/>
  <c r="T54" i="3"/>
  <c r="S54" i="3"/>
  <c r="V54" i="3"/>
  <c r="Q54" i="3"/>
  <c r="S53" i="3"/>
  <c r="T53" i="3"/>
  <c r="V53" i="3"/>
  <c r="Q53" i="3"/>
  <c r="Q52" i="3"/>
  <c r="V52" i="3"/>
  <c r="O52" i="3"/>
  <c r="P52" i="3" s="1"/>
  <c r="S52" i="3"/>
  <c r="T51" i="3"/>
  <c r="O51" i="3"/>
  <c r="P51" i="3" s="1"/>
  <c r="S51" i="3"/>
  <c r="V50" i="3"/>
  <c r="Q50" i="3"/>
  <c r="T50" i="3"/>
  <c r="O50" i="3"/>
  <c r="P50" i="3" s="1"/>
  <c r="S50" i="3"/>
  <c r="N28" i="1"/>
  <c r="I28" i="1"/>
  <c r="J28" i="1"/>
  <c r="K28" i="1"/>
  <c r="Y28" i="1"/>
  <c r="X28" i="1"/>
  <c r="S28" i="1"/>
  <c r="AA28" i="1" s="1"/>
  <c r="T56" i="3"/>
  <c r="P56" i="3"/>
  <c r="AC28" i="1" s="1"/>
  <c r="Q51" i="3"/>
  <c r="V51" i="3"/>
  <c r="Q46" i="1"/>
  <c r="Q48" i="1"/>
  <c r="AD51" i="1"/>
  <c r="AD50" i="1"/>
  <c r="AD52" i="1"/>
  <c r="AD49" i="1"/>
  <c r="Q53" i="1"/>
  <c r="Q52" i="1"/>
  <c r="AD53" i="1"/>
  <c r="AD48" i="1"/>
  <c r="AD47" i="1"/>
  <c r="AD46" i="1"/>
  <c r="AD45" i="1"/>
  <c r="AD44" i="1"/>
  <c r="AV41" i="1"/>
  <c r="AW41" i="1" s="1"/>
  <c r="S49" i="1"/>
  <c r="AA49" i="1" s="1"/>
  <c r="Q41" i="1"/>
  <c r="N53" i="1"/>
  <c r="J53" i="1"/>
  <c r="I53" i="1"/>
  <c r="K53" i="1"/>
  <c r="S53" i="1"/>
  <c r="AA53" i="1" s="1"/>
  <c r="N52" i="1"/>
  <c r="I52" i="1"/>
  <c r="J52" i="1"/>
  <c r="K52" i="1"/>
  <c r="N51" i="1"/>
  <c r="I51" i="1"/>
  <c r="J51" i="1"/>
  <c r="K51" i="1"/>
  <c r="S51" i="1"/>
  <c r="AA51" i="1" s="1"/>
  <c r="Q45" i="1"/>
  <c r="S47" i="1"/>
  <c r="S44" i="1"/>
  <c r="Q44" i="1"/>
  <c r="K27" i="1"/>
  <c r="I27" i="1"/>
  <c r="K23" i="1"/>
  <c r="I23" i="1"/>
  <c r="K26" i="1"/>
  <c r="I26" i="1"/>
  <c r="K25" i="1"/>
  <c r="I25" i="1"/>
  <c r="K22" i="1"/>
  <c r="I22" i="1"/>
  <c r="K21" i="1"/>
  <c r="I21" i="1"/>
  <c r="K24" i="1"/>
  <c r="I24" i="1"/>
  <c r="N50" i="1"/>
  <c r="J50" i="1"/>
  <c r="K50" i="1"/>
  <c r="S50" i="1"/>
  <c r="AA50" i="1" s="1"/>
  <c r="N49" i="1"/>
  <c r="J49" i="1"/>
  <c r="K49" i="1"/>
  <c r="Q49" i="1"/>
  <c r="N48" i="1"/>
  <c r="J48" i="1"/>
  <c r="K48" i="1"/>
  <c r="S48" i="1"/>
  <c r="AA48" i="1" s="1"/>
  <c r="N47" i="1"/>
  <c r="J47" i="1"/>
  <c r="K47" i="1"/>
  <c r="N46" i="1"/>
  <c r="J46" i="1"/>
  <c r="K46" i="1"/>
  <c r="S46" i="1"/>
  <c r="AA46" i="1" s="1"/>
  <c r="N45" i="1"/>
  <c r="J45" i="1"/>
  <c r="K45" i="1"/>
  <c r="S45" i="1"/>
  <c r="J44" i="1"/>
  <c r="K44" i="1"/>
  <c r="L44" i="1"/>
  <c r="N44" i="1"/>
  <c r="S77" i="3"/>
  <c r="S76" i="3"/>
  <c r="S72" i="3"/>
  <c r="S70" i="3"/>
  <c r="AF21" i="1"/>
  <c r="AD21" i="1"/>
  <c r="N41" i="1"/>
  <c r="J41" i="1"/>
  <c r="K41" i="1"/>
  <c r="S41" i="1"/>
  <c r="S75" i="3"/>
  <c r="P77" i="3"/>
  <c r="AC53" i="1" s="1"/>
  <c r="T77" i="3"/>
  <c r="Q77" i="3"/>
  <c r="AF53" i="1" s="1"/>
  <c r="V77" i="3"/>
  <c r="P76" i="3"/>
  <c r="AC52" i="1" s="1"/>
  <c r="T76" i="3"/>
  <c r="Q76" i="3"/>
  <c r="AF52" i="1" s="1"/>
  <c r="V76" i="3"/>
  <c r="P75" i="3"/>
  <c r="AC51" i="1" s="1"/>
  <c r="T75" i="3"/>
  <c r="Q75" i="3"/>
  <c r="AF51" i="1" s="1"/>
  <c r="V75" i="3"/>
  <c r="S71" i="3"/>
  <c r="V42" i="3"/>
  <c r="P74" i="3"/>
  <c r="AC50" i="1" s="1"/>
  <c r="T74" i="3"/>
  <c r="Q74" i="3"/>
  <c r="AF50" i="1" s="1"/>
  <c r="V74" i="3"/>
  <c r="S74" i="3"/>
  <c r="P73" i="3"/>
  <c r="AC49" i="1" s="1"/>
  <c r="T73" i="3"/>
  <c r="Q73" i="3"/>
  <c r="AF49" i="1" s="1"/>
  <c r="V73" i="3"/>
  <c r="S73" i="3"/>
  <c r="P72" i="3"/>
  <c r="AC48" i="1" s="1"/>
  <c r="T72" i="3"/>
  <c r="Q72" i="3"/>
  <c r="AF48" i="1" s="1"/>
  <c r="V72" i="3"/>
  <c r="S65" i="3"/>
  <c r="T65" i="3"/>
  <c r="V65" i="3"/>
  <c r="O65" i="3"/>
  <c r="Q71" i="3"/>
  <c r="AF47" i="1" s="1"/>
  <c r="V71" i="3"/>
  <c r="P71" i="3"/>
  <c r="AC47" i="1" s="1"/>
  <c r="T71" i="3"/>
  <c r="P70" i="3"/>
  <c r="AC46" i="1" s="1"/>
  <c r="T70" i="3"/>
  <c r="V70" i="3"/>
  <c r="Q70" i="3"/>
  <c r="AF46" i="1" s="1"/>
  <c r="P69" i="3"/>
  <c r="AC45" i="1" s="1"/>
  <c r="T69" i="3"/>
  <c r="Q69" i="3"/>
  <c r="AF45" i="1" s="1"/>
  <c r="V69" i="3"/>
  <c r="P68" i="3"/>
  <c r="AC44" i="1" s="1"/>
  <c r="T68" i="3"/>
  <c r="Q68" i="3"/>
  <c r="AF44" i="1" s="1"/>
  <c r="V68" i="3"/>
  <c r="S68" i="3"/>
  <c r="Q65" i="3"/>
  <c r="K14" i="1"/>
  <c r="X22" i="1"/>
  <c r="S22" i="1"/>
  <c r="Q26" i="1"/>
  <c r="AD27" i="1"/>
  <c r="Y22" i="1"/>
  <c r="Q27" i="1"/>
  <c r="Q23" i="1"/>
  <c r="J27" i="1"/>
  <c r="X27" i="1"/>
  <c r="S27" i="1"/>
  <c r="Y27" i="1"/>
  <c r="N27" i="1"/>
  <c r="Q25" i="1"/>
  <c r="Q22" i="1"/>
  <c r="Y25" i="1"/>
  <c r="X25" i="1"/>
  <c r="AA25" i="1" s="1"/>
  <c r="Q24" i="1"/>
  <c r="Q14" i="1"/>
  <c r="Q21" i="1"/>
  <c r="Y21" i="1"/>
  <c r="S21" i="1"/>
  <c r="X21" i="1"/>
  <c r="Y26" i="1"/>
  <c r="X26" i="1"/>
  <c r="S26" i="1"/>
  <c r="J23" i="1"/>
  <c r="Y24" i="1"/>
  <c r="X24" i="1"/>
  <c r="S24" i="1"/>
  <c r="Y23" i="1"/>
  <c r="X23" i="1"/>
  <c r="S23" i="1"/>
  <c r="AA23" i="1" s="1"/>
  <c r="AD26" i="1"/>
  <c r="AD25" i="1"/>
  <c r="J26" i="1"/>
  <c r="J25" i="1"/>
  <c r="AD24" i="1"/>
  <c r="AD22" i="1"/>
  <c r="T42" i="3"/>
  <c r="S42" i="3"/>
  <c r="J22" i="1"/>
  <c r="J21" i="1"/>
  <c r="P49" i="3"/>
  <c r="T49" i="3"/>
  <c r="AD23" i="1"/>
  <c r="S49" i="3"/>
  <c r="Y49" i="3" s="1"/>
  <c r="AD14" i="1"/>
  <c r="P42" i="3"/>
  <c r="J24" i="1"/>
  <c r="N23" i="1"/>
  <c r="N24" i="1"/>
  <c r="Q42" i="3"/>
  <c r="J14" i="1"/>
  <c r="Y14" i="1"/>
  <c r="X14" i="1"/>
  <c r="S14" i="1"/>
  <c r="AV14" i="1"/>
  <c r="AW14" i="1" s="1"/>
  <c r="Y46" i="3" l="1"/>
  <c r="Z7" i="7"/>
  <c r="Z8" i="7"/>
  <c r="Z6" i="7"/>
  <c r="Y48" i="3"/>
  <c r="Y47" i="3"/>
  <c r="AA19" i="1"/>
  <c r="AF41" i="1"/>
  <c r="Y90" i="3"/>
  <c r="Y91" i="3"/>
  <c r="Y88" i="3"/>
  <c r="Y87" i="3"/>
  <c r="Y89" i="3"/>
  <c r="Y66" i="3"/>
  <c r="AB43" i="1"/>
  <c r="AB42" i="1"/>
  <c r="L41" i="1"/>
  <c r="Y76" i="3"/>
  <c r="Y44" i="3"/>
  <c r="AB20" i="1"/>
  <c r="AA18" i="1"/>
  <c r="L19" i="1"/>
  <c r="L16" i="1"/>
  <c r="AA16" i="1"/>
  <c r="AB16" i="1" s="1"/>
  <c r="Y56" i="3"/>
  <c r="Y45" i="3"/>
  <c r="AA15" i="1"/>
  <c r="L20" i="1"/>
  <c r="L15" i="1"/>
  <c r="L18" i="1"/>
  <c r="L17" i="1"/>
  <c r="AA17" i="1"/>
  <c r="AB17" i="1" s="1"/>
  <c r="L28" i="1"/>
  <c r="Y72" i="3"/>
  <c r="Y51" i="3"/>
  <c r="AF25" i="1"/>
  <c r="AF22" i="1"/>
  <c r="AB53" i="1"/>
  <c r="AA52" i="1"/>
  <c r="AB51" i="1"/>
  <c r="Y70" i="3"/>
  <c r="Y55" i="3"/>
  <c r="Y69" i="3"/>
  <c r="Y53" i="3"/>
  <c r="Y52" i="3"/>
  <c r="Y50" i="3"/>
  <c r="AB28" i="1"/>
  <c r="AF26" i="1"/>
  <c r="Y54" i="3"/>
  <c r="Y42" i="3"/>
  <c r="Y75" i="3"/>
  <c r="Y77" i="3"/>
  <c r="Y74" i="3"/>
  <c r="Y73" i="3"/>
  <c r="L45" i="1"/>
  <c r="Y71" i="3"/>
  <c r="L50" i="1"/>
  <c r="Y68" i="3"/>
  <c r="Y65" i="3"/>
  <c r="AF27" i="1"/>
  <c r="AF24" i="1"/>
  <c r="AC24" i="1"/>
  <c r="P65" i="3"/>
  <c r="L46" i="1"/>
  <c r="AB49" i="1"/>
  <c r="L52" i="1"/>
  <c r="L51" i="1"/>
  <c r="AA47" i="1"/>
  <c r="L53" i="1"/>
  <c r="L47" i="1"/>
  <c r="AA44" i="1"/>
  <c r="L48" i="1"/>
  <c r="L27" i="1"/>
  <c r="L26" i="1"/>
  <c r="L22" i="1"/>
  <c r="L24" i="1"/>
  <c r="L23" i="1"/>
  <c r="L25" i="1"/>
  <c r="AB48" i="1"/>
  <c r="AA45" i="1"/>
  <c r="AB50" i="1"/>
  <c r="L49" i="1"/>
  <c r="AB46" i="1"/>
  <c r="AA41" i="1"/>
  <c r="AB41" i="1" s="1"/>
  <c r="AC25" i="1"/>
  <c r="AC26" i="1"/>
  <c r="AC22" i="1"/>
  <c r="AC14" i="1"/>
  <c r="AF14" i="1"/>
  <c r="AA22" i="1"/>
  <c r="AA21" i="1"/>
  <c r="AA27" i="1"/>
  <c r="AB27" i="1" s="1"/>
  <c r="AC27" i="1"/>
  <c r="AB23" i="1"/>
  <c r="AB25" i="1"/>
  <c r="AA24" i="1"/>
  <c r="AB24" i="1" s="1"/>
  <c r="AA26" i="1"/>
  <c r="AB26" i="1" s="1"/>
  <c r="L21" i="1"/>
  <c r="AC23" i="1"/>
  <c r="AC21" i="1"/>
  <c r="L14" i="1"/>
  <c r="AF23" i="1"/>
  <c r="AA14" i="1"/>
  <c r="AB14" i="1" s="1"/>
  <c r="AB19" i="1" l="1"/>
  <c r="AP19" i="1" s="1"/>
  <c r="AK19" i="1"/>
  <c r="AC41" i="1"/>
  <c r="AP43" i="1"/>
  <c r="AK43" i="1"/>
  <c r="AL43" i="1"/>
  <c r="AM43" i="1" s="1"/>
  <c r="AN43" i="1" s="1"/>
  <c r="AO43" i="1"/>
  <c r="AQ43" i="1"/>
  <c r="AR43" i="1" s="1"/>
  <c r="AS43" i="1" s="1"/>
  <c r="AJ43" i="1"/>
  <c r="AP42" i="1"/>
  <c r="AK42" i="1"/>
  <c r="AJ42" i="1"/>
  <c r="AQ42" i="1"/>
  <c r="AR42" i="1" s="1"/>
  <c r="AS42" i="1" s="1"/>
  <c r="AL42" i="1"/>
  <c r="AM42" i="1" s="1"/>
  <c r="AN42" i="1" s="1"/>
  <c r="AO42" i="1"/>
  <c r="AB52" i="1"/>
  <c r="AK20" i="1"/>
  <c r="AB18" i="1"/>
  <c r="AP20" i="1"/>
  <c r="AP16" i="1"/>
  <c r="AK16" i="1"/>
  <c r="AL16" i="1"/>
  <c r="AM16" i="1" s="1"/>
  <c r="AN16" i="1" s="1"/>
  <c r="AO16" i="1"/>
  <c r="AQ16" i="1"/>
  <c r="AR16" i="1" s="1"/>
  <c r="AS16" i="1" s="1"/>
  <c r="AJ16" i="1"/>
  <c r="AB15" i="1"/>
  <c r="AJ20" i="1"/>
  <c r="AL20" i="1"/>
  <c r="AO20" i="1"/>
  <c r="AQ20" i="1"/>
  <c r="AJ17" i="1"/>
  <c r="AQ17" i="1"/>
  <c r="AO17" i="1"/>
  <c r="AL17" i="1"/>
  <c r="AP17" i="1"/>
  <c r="AK17" i="1"/>
  <c r="AK53" i="1"/>
  <c r="AP51" i="1"/>
  <c r="AP53" i="1"/>
  <c r="AK51" i="1"/>
  <c r="AJ28" i="1"/>
  <c r="AK28" i="1"/>
  <c r="AL28" i="1"/>
  <c r="AO28" i="1"/>
  <c r="AP28" i="1"/>
  <c r="AQ28" i="1"/>
  <c r="AB22" i="1"/>
  <c r="AJ53" i="1"/>
  <c r="AK49" i="1"/>
  <c r="AP49" i="1"/>
  <c r="AQ53" i="1"/>
  <c r="AL53" i="1"/>
  <c r="AO53" i="1"/>
  <c r="AJ51" i="1"/>
  <c r="AL51" i="1"/>
  <c r="AQ51" i="1"/>
  <c r="AO51" i="1"/>
  <c r="AB47" i="1"/>
  <c r="AJ50" i="1"/>
  <c r="AB44" i="1"/>
  <c r="AL50" i="1"/>
  <c r="AB45" i="1"/>
  <c r="AO50" i="1"/>
  <c r="AQ50" i="1"/>
  <c r="AR50" i="1" s="1"/>
  <c r="AS50" i="1" s="1"/>
  <c r="AJ48" i="1"/>
  <c r="AK48" i="1"/>
  <c r="AL48" i="1"/>
  <c r="AM48" i="1" s="1"/>
  <c r="AN48" i="1" s="1"/>
  <c r="AO48" i="1"/>
  <c r="AP48" i="1"/>
  <c r="AQ48" i="1"/>
  <c r="AR48" i="1" s="1"/>
  <c r="AS48" i="1" s="1"/>
  <c r="AP50" i="1"/>
  <c r="AK50" i="1"/>
  <c r="AO49" i="1"/>
  <c r="AL49" i="1"/>
  <c r="AJ49" i="1"/>
  <c r="AQ49" i="1"/>
  <c r="AP46" i="1"/>
  <c r="AK46" i="1"/>
  <c r="AJ46" i="1"/>
  <c r="AL46" i="1"/>
  <c r="AM46" i="1" s="1"/>
  <c r="AN46" i="1" s="1"/>
  <c r="AO46" i="1"/>
  <c r="AQ46" i="1"/>
  <c r="AR46" i="1" s="1"/>
  <c r="AS46" i="1" s="1"/>
  <c r="AJ41" i="1"/>
  <c r="AK41" i="1"/>
  <c r="AL41" i="1"/>
  <c r="AM41" i="1" s="1"/>
  <c r="AN41" i="1" s="1"/>
  <c r="AB21" i="1"/>
  <c r="AK21" i="1" s="1"/>
  <c r="AK27" i="1"/>
  <c r="AJ27" i="1"/>
  <c r="AL27" i="1"/>
  <c r="AM27" i="1" s="1"/>
  <c r="AN27" i="1" s="1"/>
  <c r="AP27" i="1"/>
  <c r="AQ27" i="1"/>
  <c r="AR27" i="1" s="1"/>
  <c r="AS27" i="1" s="1"/>
  <c r="AO27" i="1"/>
  <c r="AL23" i="1"/>
  <c r="AK25" i="1"/>
  <c r="AP25" i="1"/>
  <c r="AJ25" i="1"/>
  <c r="AL25" i="1"/>
  <c r="AM25" i="1" s="1"/>
  <c r="AN25" i="1" s="1"/>
  <c r="AO25" i="1"/>
  <c r="AQ25" i="1"/>
  <c r="AR25" i="1" s="1"/>
  <c r="AS25" i="1" s="1"/>
  <c r="AJ24" i="1"/>
  <c r="AO24" i="1"/>
  <c r="AL24" i="1"/>
  <c r="AM24" i="1" s="1"/>
  <c r="AN24" i="1" s="1"/>
  <c r="AK24" i="1"/>
  <c r="AQ24" i="1"/>
  <c r="AR24" i="1" s="1"/>
  <c r="AS24" i="1" s="1"/>
  <c r="AP24" i="1"/>
  <c r="AL26" i="1"/>
  <c r="AM26" i="1" s="1"/>
  <c r="AN26" i="1" s="1"/>
  <c r="AO26" i="1"/>
  <c r="AJ26" i="1"/>
  <c r="AK26" i="1"/>
  <c r="AP26" i="1"/>
  <c r="AQ26" i="1"/>
  <c r="AR26" i="1" s="1"/>
  <c r="AS26" i="1" s="1"/>
  <c r="AO23" i="1"/>
  <c r="AP23" i="1"/>
  <c r="AQ23" i="1"/>
  <c r="AO14" i="1"/>
  <c r="AJ23" i="1"/>
  <c r="AK23" i="1"/>
  <c r="AQ14" i="1"/>
  <c r="AP14" i="1"/>
  <c r="AK14" i="1"/>
  <c r="AJ14" i="1"/>
  <c r="AL14" i="1"/>
  <c r="AJ19" i="1" l="1"/>
  <c r="AL19" i="1"/>
  <c r="AM19" i="1" s="1"/>
  <c r="AN19" i="1" s="1"/>
  <c r="AO19" i="1"/>
  <c r="AQ19" i="1"/>
  <c r="AR19" i="1" s="1"/>
  <c r="AS19" i="1" s="1"/>
  <c r="AQ41" i="1"/>
  <c r="AR41" i="1" s="1"/>
  <c r="AS41" i="1" s="1"/>
  <c r="AO41" i="1"/>
  <c r="AP41" i="1"/>
  <c r="AP52" i="1"/>
  <c r="AL52" i="1"/>
  <c r="AQ52" i="1"/>
  <c r="AK52" i="1"/>
  <c r="AJ52" i="1"/>
  <c r="AO52" i="1"/>
  <c r="AP18" i="1"/>
  <c r="AK18" i="1"/>
  <c r="AQ18" i="1"/>
  <c r="AO18" i="1"/>
  <c r="AL18" i="1"/>
  <c r="AJ18" i="1"/>
  <c r="AR20" i="1"/>
  <c r="AS20" i="1" s="1"/>
  <c r="AP15" i="1"/>
  <c r="AK15" i="1"/>
  <c r="AL15" i="1"/>
  <c r="AM15" i="1" s="1"/>
  <c r="AN15" i="1" s="1"/>
  <c r="AO15" i="1"/>
  <c r="AJ15" i="1"/>
  <c r="AQ15" i="1"/>
  <c r="AR14" i="1"/>
  <c r="AM20" i="1"/>
  <c r="AN20" i="1" s="1"/>
  <c r="AR17" i="1"/>
  <c r="AS17" i="1" s="1"/>
  <c r="AM17" i="1"/>
  <c r="AN17" i="1" s="1"/>
  <c r="AM28" i="1"/>
  <c r="AN28" i="1" s="1"/>
  <c r="AR28" i="1"/>
  <c r="AS28" i="1" s="1"/>
  <c r="AR51" i="1"/>
  <c r="AS51" i="1" s="1"/>
  <c r="AR53" i="1"/>
  <c r="AS53" i="1" s="1"/>
  <c r="AM51" i="1"/>
  <c r="AN51" i="1" s="1"/>
  <c r="AL22" i="1"/>
  <c r="AM22" i="1" s="1"/>
  <c r="AN22" i="1" s="1"/>
  <c r="AP22" i="1"/>
  <c r="AJ22" i="1"/>
  <c r="AQ22" i="1"/>
  <c r="AR22" i="1" s="1"/>
  <c r="AS22" i="1" s="1"/>
  <c r="AK22" i="1"/>
  <c r="AO22" i="1"/>
  <c r="AP47" i="1"/>
  <c r="AK47" i="1"/>
  <c r="AL47" i="1"/>
  <c r="AM47" i="1" s="1"/>
  <c r="AN47" i="1" s="1"/>
  <c r="AO47" i="1"/>
  <c r="AO44" i="1"/>
  <c r="AL44" i="1"/>
  <c r="AM44" i="1" s="1"/>
  <c r="AN44" i="1" s="1"/>
  <c r="AJ44" i="1"/>
  <c r="AK44" i="1"/>
  <c r="AM53" i="1"/>
  <c r="AN53" i="1" s="1"/>
  <c r="AJ47" i="1"/>
  <c r="AQ47" i="1"/>
  <c r="AR47" i="1" s="1"/>
  <c r="AS47" i="1" s="1"/>
  <c r="AQ44" i="1"/>
  <c r="AR44" i="1" s="1"/>
  <c r="AS44" i="1" s="1"/>
  <c r="AP44" i="1"/>
  <c r="AM50" i="1"/>
  <c r="AN50" i="1" s="1"/>
  <c r="AP45" i="1"/>
  <c r="AK45" i="1"/>
  <c r="AJ45" i="1"/>
  <c r="AL45" i="1"/>
  <c r="AM45" i="1" s="1"/>
  <c r="AN45" i="1" s="1"/>
  <c r="AO45" i="1"/>
  <c r="AQ45" i="1"/>
  <c r="AR45" i="1" s="1"/>
  <c r="AS45" i="1" s="1"/>
  <c r="AM49" i="1"/>
  <c r="AN49" i="1" s="1"/>
  <c r="AR49" i="1"/>
  <c r="AS49" i="1" s="1"/>
  <c r="AP21" i="1"/>
  <c r="AQ21" i="1"/>
  <c r="AR21" i="1" s="1"/>
  <c r="AS21" i="1" s="1"/>
  <c r="AJ21" i="1"/>
  <c r="AL21" i="1"/>
  <c r="AM21" i="1" s="1"/>
  <c r="AN21" i="1" s="1"/>
  <c r="AO21" i="1"/>
  <c r="AR23" i="1"/>
  <c r="AS23" i="1" s="1"/>
  <c r="AM23" i="1"/>
  <c r="AN23" i="1" s="1"/>
  <c r="AM14" i="1"/>
  <c r="AN14" i="1" s="1"/>
  <c r="AR52" i="1" l="1"/>
  <c r="AS52" i="1" s="1"/>
  <c r="AM52" i="1"/>
  <c r="AN52" i="1" s="1"/>
  <c r="AR18" i="1"/>
  <c r="AS18" i="1" s="1"/>
  <c r="AM18" i="1"/>
  <c r="AN18" i="1" s="1"/>
  <c r="AR15" i="1"/>
  <c r="AS15" i="1" s="1"/>
  <c r="AS14" i="1"/>
</calcChain>
</file>

<file path=xl/sharedStrings.xml><?xml version="1.0" encoding="utf-8"?>
<sst xmlns="http://schemas.openxmlformats.org/spreadsheetml/2006/main" count="557" uniqueCount="265">
  <si>
    <t>Code 
Equation No.</t>
  </si>
  <si>
    <t>(17)</t>
  </si>
  <si>
    <t>(17),(18)</t>
  </si>
  <si>
    <t>(19)</t>
  </si>
  <si>
    <t>(9)</t>
  </si>
  <si>
    <t>(18)</t>
  </si>
  <si>
    <t>(20)</t>
  </si>
  <si>
    <t>(21)</t>
  </si>
  <si>
    <t>(22)</t>
  </si>
  <si>
    <t>F1-1</t>
  </si>
  <si>
    <t>F1-6</t>
  </si>
  <si>
    <t>F1-7</t>
  </si>
  <si>
    <t>F1-8</t>
  </si>
  <si>
    <t>H1-1</t>
  </si>
  <si>
    <t>H1-2</t>
  </si>
  <si>
    <t>H1-3</t>
  </si>
  <si>
    <t>NO.</t>
  </si>
  <si>
    <t>MEMBER SIZE</t>
  </si>
  <si>
    <t>Compression : Column</t>
  </si>
  <si>
    <t>Flexural : Column major axis</t>
  </si>
  <si>
    <t>Combined stress : Columl axial compression + bending</t>
  </si>
  <si>
    <t>Shear : Beam</t>
  </si>
  <si>
    <t>Cc</t>
  </si>
  <si>
    <t>K</t>
  </si>
  <si>
    <t>Fa1
(Mpa)</t>
  </si>
  <si>
    <t>Fa2
(Mpa)</t>
  </si>
  <si>
    <t>Fa
(Mpa)</t>
  </si>
  <si>
    <t>fa
(Mpa)</t>
  </si>
  <si>
    <t>fa/Sy
(0.16)
판정</t>
  </si>
  <si>
    <t>Lc1
(mm)</t>
  </si>
  <si>
    <t>Lc2
(mm)</t>
  </si>
  <si>
    <t>Lc
(mm)</t>
  </si>
  <si>
    <t>rc
(mm)</t>
  </si>
  <si>
    <t xml:space="preserve">l/rc
</t>
  </si>
  <si>
    <t>횡좌굴
기준1</t>
  </si>
  <si>
    <t>횡좌굴
기준2</t>
  </si>
  <si>
    <t>Cb</t>
  </si>
  <si>
    <t>Fb1
(Mpa)</t>
  </si>
  <si>
    <t>Fb2-1
(Mpa)</t>
  </si>
  <si>
    <t>Fb2-2
(Mpa)</t>
  </si>
  <si>
    <t>Fb2-3
(Mpa)</t>
  </si>
  <si>
    <t>Fb2
(Mpa)</t>
  </si>
  <si>
    <t>Fb
(Mpa)</t>
  </si>
  <si>
    <t>Fb-minor
(Mpa)</t>
  </si>
  <si>
    <t>fb-minor
(Mpa)</t>
  </si>
  <si>
    <t>F'e
(Mpa)</t>
  </si>
  <si>
    <t>F'e - Minor
(Mpa)</t>
  </si>
  <si>
    <t>Cm</t>
  </si>
  <si>
    <t>Stress ratio</t>
  </si>
  <si>
    <t>Result</t>
  </si>
  <si>
    <t>Fv
(Mpa)</t>
  </si>
  <si>
    <t>fv
(Mpa)</t>
  </si>
  <si>
    <t>Stress
ratio</t>
  </si>
  <si>
    <t>H -</t>
  </si>
  <si>
    <t>Note</t>
  </si>
  <si>
    <t>1.</t>
  </si>
  <si>
    <t>2.</t>
  </si>
  <si>
    <t>3.</t>
  </si>
  <si>
    <t>4.</t>
  </si>
  <si>
    <t>5.</t>
  </si>
  <si>
    <t>6.</t>
  </si>
  <si>
    <t>8.</t>
  </si>
  <si>
    <t>9.</t>
  </si>
  <si>
    <t>MEMEBR PROPERTY ( H - SHAPE )</t>
  </si>
  <si>
    <t>MARK</t>
  </si>
  <si>
    <t>DESIGNATION</t>
  </si>
  <si>
    <t>WEIGHT</t>
  </si>
  <si>
    <t>AREA</t>
  </si>
  <si>
    <t>Ix</t>
  </si>
  <si>
    <t>Sx</t>
  </si>
  <si>
    <t>rx</t>
  </si>
  <si>
    <t>Iy</t>
  </si>
  <si>
    <t>Sy</t>
  </si>
  <si>
    <t>ry</t>
  </si>
  <si>
    <t>Compact 판정</t>
  </si>
  <si>
    <t>Web h/tw 판정</t>
  </si>
  <si>
    <t>Web 면적</t>
  </si>
  <si>
    <t>Af</t>
  </si>
  <si>
    <t>REMARK</t>
  </si>
  <si>
    <t>d</t>
  </si>
  <si>
    <t>bf</t>
  </si>
  <si>
    <t>tw</t>
  </si>
  <si>
    <t>tf</t>
  </si>
  <si>
    <t>(N/mm)</t>
  </si>
  <si>
    <t>(mm2)</t>
  </si>
  <si>
    <t>(mm)</t>
  </si>
  <si>
    <t>(mm4)</t>
  </si>
  <si>
    <t>(mm3)</t>
  </si>
  <si>
    <t>Flange</t>
  </si>
  <si>
    <t>Web</t>
  </si>
  <si>
    <t>(380/sqrt(Fy))
(996.6/sqrt(Fy))</t>
  </si>
  <si>
    <t>(Depth * tw)</t>
  </si>
  <si>
    <t>H-100X100X6X8</t>
  </si>
  <si>
    <t>H-125X125X6.5X9</t>
  </si>
  <si>
    <t>H-150X150X7X10</t>
  </si>
  <si>
    <t>H-194X150X6X9</t>
  </si>
  <si>
    <t>H-200X200X8X12</t>
  </si>
  <si>
    <t>H-250X250X9X14</t>
  </si>
  <si>
    <t>H-300X300X10X15</t>
  </si>
  <si>
    <t>H-350X350X12X19</t>
  </si>
  <si>
    <t>H-400X400X13X21</t>
  </si>
  <si>
    <t>Material :</t>
  </si>
  <si>
    <t>SS275</t>
  </si>
  <si>
    <t>Sy :</t>
  </si>
  <si>
    <t>Mpa</t>
  </si>
  <si>
    <t>(AISC. Fy)</t>
  </si>
  <si>
    <t>Su :</t>
  </si>
  <si>
    <t>(AISC. Fu)</t>
  </si>
  <si>
    <t>E   :</t>
  </si>
  <si>
    <t>(탄성계수)</t>
  </si>
  <si>
    <t>K   :</t>
  </si>
  <si>
    <t xml:space="preserve">ASME BPVC.III.1.NF-2025, NF 3300 </t>
    <phoneticPr fontId="1" type="noConversion"/>
  </si>
  <si>
    <t>AISC : ADS 89 (steel construction manual 9th)</t>
    <phoneticPr fontId="1" type="noConversion"/>
  </si>
  <si>
    <t>높이
(mm)</t>
    <phoneticPr fontId="1" type="noConversion"/>
  </si>
  <si>
    <t xml:space="preserve"> H
(mm)</t>
    <phoneticPr fontId="1" type="noConversion"/>
  </si>
  <si>
    <t>P
(kg)</t>
    <phoneticPr fontId="1" type="noConversion"/>
  </si>
  <si>
    <t>P
(N)</t>
    <phoneticPr fontId="1" type="noConversion"/>
  </si>
  <si>
    <t>H1
(Transe. , kg)</t>
    <phoneticPr fontId="1" type="noConversion"/>
  </si>
  <si>
    <t>H1
(Transe. , N)</t>
    <phoneticPr fontId="1" type="noConversion"/>
  </si>
  <si>
    <t>Beam moment
(minor, N.mm)</t>
    <phoneticPr fontId="1" type="noConversion"/>
  </si>
  <si>
    <t>H2
(Longi. , kg)</t>
    <phoneticPr fontId="1" type="noConversion"/>
  </si>
  <si>
    <t>H2
(Longi. , N)</t>
    <phoneticPr fontId="1" type="noConversion"/>
  </si>
  <si>
    <t>(Note1)</t>
    <phoneticPr fontId="1" type="noConversion"/>
  </si>
  <si>
    <t>(Note2)</t>
    <phoneticPr fontId="1" type="noConversion"/>
  </si>
  <si>
    <t xml:space="preserve">Note2. 허용전단응력도, AISC ASD 89 F4-1, F4-2 판정에 주의.  h/tw &lt;= 380/sqrt(Fy),  SI 996.6/sqrt(Fy) 를 만족하는 수식 (F4-1) 적용이 base 임. </t>
    <phoneticPr fontId="1" type="noConversion"/>
  </si>
  <si>
    <t>fb2
(Mpa)</t>
    <phoneticPr fontId="1" type="noConversion"/>
  </si>
  <si>
    <t>fb1
(Mpa)</t>
    <phoneticPr fontId="1" type="noConversion"/>
  </si>
  <si>
    <t>Column moment (P)
(major, N.mm)</t>
    <phoneticPr fontId="1" type="noConversion"/>
  </si>
  <si>
    <t>Column moment (H1)
(major, N.mm)</t>
    <phoneticPr fontId="1" type="noConversion"/>
  </si>
  <si>
    <t>Column moment (P+H1)
(major, N.mm)</t>
    <phoneticPr fontId="1" type="noConversion"/>
  </si>
  <si>
    <t>Column moment (H2)
(minor, N.mm)</t>
    <phoneticPr fontId="1" type="noConversion"/>
  </si>
  <si>
    <t>Flexural - Column 
minor axis</t>
    <phoneticPr fontId="1" type="noConversion"/>
  </si>
  <si>
    <t>Common</t>
    <phoneticPr fontId="1" type="noConversion"/>
  </si>
  <si>
    <t>Load Case1 : Vertical + Longi. Friction</t>
    <phoneticPr fontId="1" type="noConversion"/>
  </si>
  <si>
    <t>Load Case2: Vertical + Transe. Friction</t>
    <phoneticPr fontId="1" type="noConversion"/>
  </si>
  <si>
    <t>Ratio 1</t>
    <phoneticPr fontId="1" type="noConversion"/>
  </si>
  <si>
    <t>Ratio 2</t>
    <phoneticPr fontId="1" type="noConversion"/>
  </si>
  <si>
    <t>Ratio 3</t>
    <phoneticPr fontId="1" type="noConversion"/>
  </si>
  <si>
    <t>Major axis</t>
    <phoneticPr fontId="1" type="noConversion"/>
  </si>
  <si>
    <t>x
(mm)</t>
    <phoneticPr fontId="1" type="noConversion"/>
  </si>
  <si>
    <t>L
(mm)</t>
    <phoneticPr fontId="1" type="noConversion"/>
  </si>
  <si>
    <t>v   :</t>
    <phoneticPr fontId="1" type="noConversion"/>
  </si>
  <si>
    <t>(Poisson's ratio)</t>
    <phoneticPr fontId="1" type="noConversion"/>
  </si>
  <si>
    <t>G  :</t>
    <phoneticPr fontId="1" type="noConversion"/>
  </si>
  <si>
    <t>Mpa (전단탄성계수)</t>
    <phoneticPr fontId="1" type="noConversion"/>
  </si>
  <si>
    <t>(Note3)</t>
    <phoneticPr fontId="1" type="noConversion"/>
  </si>
  <si>
    <t>&lt;Input : X-Z Plan&gt;</t>
    <phoneticPr fontId="1" type="noConversion"/>
  </si>
  <si>
    <t>Case-1 Govern</t>
    <phoneticPr fontId="1" type="noConversion"/>
  </si>
  <si>
    <t>Result</t>
    <phoneticPr fontId="1" type="noConversion"/>
  </si>
  <si>
    <t>Case-2 Govern</t>
    <phoneticPr fontId="1" type="noConversion"/>
  </si>
  <si>
    <t>&lt;Note&gt;</t>
    <phoneticPr fontId="1" type="noConversion"/>
  </si>
  <si>
    <t xml:space="preserve">1. 단면의 Shear deformation 효과는 무시함. </t>
    <phoneticPr fontId="1" type="noConversion"/>
  </si>
  <si>
    <t>Friction coefficient (H1) :</t>
    <phoneticPr fontId="1" type="noConversion"/>
  </si>
  <si>
    <t>2. Support 철골의 자중은 무시함.</t>
    <phoneticPr fontId="1" type="noConversion"/>
  </si>
  <si>
    <t>3. 변위 기준점은 하중 작용점임. (단 H1에 의한 횡방향 변위는 Beam 의 축방향 변위가 미소하므로 기둥 상단부로 평가. )</t>
    <phoneticPr fontId="1" type="noConversion"/>
  </si>
  <si>
    <t>Disp.
horizontal limit
(mm)</t>
    <phoneticPr fontId="1" type="noConversion"/>
  </si>
  <si>
    <t>Disp.
vertical 
limit
(mm)</t>
    <phoneticPr fontId="1" type="noConversion"/>
  </si>
  <si>
    <t>Disp. vertical
d1 (mm)</t>
    <phoneticPr fontId="1" type="noConversion"/>
  </si>
  <si>
    <t>Disp. Hor.
d3 (mm)</t>
    <phoneticPr fontId="1" type="noConversion"/>
  </si>
  <si>
    <t>Disp. reference
d_ref (mm)</t>
    <phoneticPr fontId="1" type="noConversion"/>
  </si>
  <si>
    <t>T-support (외팔형) Input data &amp; Displacement check sheet</t>
    <phoneticPr fontId="1" type="noConversion"/>
  </si>
  <si>
    <t>T-support (외팔형) Stress check (ASME BPVC.III.1.NF-2025, NF 3300)</t>
    <phoneticPr fontId="1" type="noConversion"/>
  </si>
  <si>
    <t xml:space="preserve">         배관 T-support 에는 대부분 만족함.  주로 Built up deep beam 사용 시 주의 (  ASME BPVC.III.1.NF-2025, NF 3322.1 (b) 에는 해당 내용이 없음)</t>
    <phoneticPr fontId="1" type="noConversion"/>
  </si>
  <si>
    <t>Note1. web 부 compact 판정 시 fa/Sy = 0.16으로 가정 (보수적),  단 stress check 시 축압축 응력 ratio fa/Sy &gt; 0.16 인경우 web 의 compact section 판정 수식 변경 필요함.</t>
    <phoneticPr fontId="1" type="noConversion"/>
  </si>
  <si>
    <t>J</t>
    <phoneticPr fontId="1" type="noConversion"/>
  </si>
  <si>
    <t>Cb : 휨응력에서 unbraced length 가 긴 경우 모멘트 반전에  허용응력에 비례 하는 값으로, T-support 류에는 1을 적용함.  (Cb may conservatively be taken as 1 for cantilever beams. /AISC &amp; ASME)</t>
    <phoneticPr fontId="1" type="noConversion"/>
  </si>
  <si>
    <t>Cm : 조합응력 에 적용하는 계수로, 클수록 보수 적임.  T-support 는 sidesway 가 있는 것으로 보고 0.85 적용가능하며, 보수적으로 1로 적용 가능. (for compression members in frames subject to joint translation(sidesway), Cm=0.85)</t>
    <phoneticPr fontId="1" type="noConversion"/>
  </si>
  <si>
    <t>상기 ASME code 의 철골 설계법은  AISC : ADS 89 (steel construction manual 9th) 와 거의 동일함.</t>
    <phoneticPr fontId="1" type="noConversion"/>
  </si>
  <si>
    <t>유효좌굴길이 K : cantilever 기둥 2</t>
    <phoneticPr fontId="1" type="noConversion"/>
  </si>
  <si>
    <t>Supprt 철골 self weight 는 무시함.</t>
    <phoneticPr fontId="1" type="noConversion"/>
  </si>
  <si>
    <t>fa/Fb &lt; 0.15 인 경우 Combined stress ratio 3만 적용 가능함. (Result 수식에 기 반영)</t>
    <phoneticPr fontId="1" type="noConversion"/>
  </si>
  <si>
    <t>All compact section 에 해당하는 수식 적용 함.  (section_H 참고)</t>
    <phoneticPr fontId="1" type="noConversion"/>
  </si>
  <si>
    <t>7.</t>
  </si>
  <si>
    <t>10.</t>
  </si>
  <si>
    <t>fa/Sy 가 0.16 초과 시 web 에 대한 compact section 판정 기준이 달라지므로 주의 (section_H note 1. 참고)</t>
    <phoneticPr fontId="1" type="noConversion"/>
  </si>
  <si>
    <t>Bending, Axial force 는 기둥 , Shear force 는 Beam 이 govern 하여 해당 부재로 검토함. Torsion force 는 미미하고 설계 code 에 지정되지 않으므로 검토 생략함.</t>
    <phoneticPr fontId="1" type="noConversion"/>
  </si>
  <si>
    <t>4. wind, seismic load 는 적용하지 않음. (Occasional load case 미고려)</t>
    <phoneticPr fontId="1" type="noConversion"/>
  </si>
  <si>
    <r>
      <t xml:space="preserve">* </t>
    </r>
    <r>
      <rPr>
        <sz val="11"/>
        <color rgb="FFFF0000"/>
        <rFont val="맑은 고딕"/>
        <family val="3"/>
        <charset val="129"/>
        <scheme val="minor"/>
      </rPr>
      <t>붉은 글씨</t>
    </r>
    <r>
      <rPr>
        <sz val="11"/>
        <rFont val="맑은 고딕"/>
        <family val="3"/>
        <charset val="129"/>
        <scheme val="minor"/>
      </rPr>
      <t>만 입력.</t>
    </r>
    <phoneticPr fontId="1" type="noConversion"/>
  </si>
  <si>
    <t>&lt;Operating case-1 : X-Z Plan displacement&gt;</t>
    <phoneticPr fontId="1" type="noConversion"/>
  </si>
  <si>
    <t>&lt;Operating case-2 : Y-Z Plan &amp; X-Y Plan displacement&gt;</t>
    <phoneticPr fontId="1" type="noConversion"/>
  </si>
  <si>
    <t>(유효좌굴계수. Cantilever 2)</t>
    <phoneticPr fontId="1" type="noConversion"/>
  </si>
  <si>
    <t>Note3.  비틀림 상수.  H 형강의 : 1/3 (h x tw^3+ 2 x b x tf^3,  H 는 상하 플랜지 중심거리. 본 table 은 midas gen 과 비교검증을 위해 동일한 계수 사용함 (round-off)</t>
    <phoneticPr fontId="1" type="noConversion"/>
  </si>
  <si>
    <t>* table 추가 필요 시 table 최하단행 위로 행 삽입후 행 복사. "Input_disp_check" tab 과 No. 일치해야 함.</t>
    <phoneticPr fontId="1" type="noConversion"/>
  </si>
  <si>
    <t xml:space="preserve">* table 추가 필요 시 table 최하단행 위로 행 삽입후 행 복사. </t>
    <phoneticPr fontId="1" type="noConversion"/>
  </si>
  <si>
    <t>수정 내용</t>
    <phoneticPr fontId="6" type="noConversion"/>
  </si>
  <si>
    <t>수정일</t>
    <phoneticPr fontId="6" type="noConversion"/>
  </si>
  <si>
    <t>2026.05.22</t>
    <phoneticPr fontId="6" type="noConversion"/>
  </si>
  <si>
    <t>2026.05.21</t>
    <phoneticPr fontId="6" type="noConversion"/>
  </si>
  <si>
    <r>
      <t>Fa2 (K열) 수식 오류 수정
Fa 분모 :  (5/3) + (3*세장비/8*Cc) - (</t>
    </r>
    <r>
      <rPr>
        <sz val="10"/>
        <color rgb="FFFF0000"/>
        <rFont val="맑은 고딕"/>
        <family val="3"/>
        <charset val="129"/>
        <scheme val="minor"/>
      </rPr>
      <t>Cc</t>
    </r>
    <r>
      <rPr>
        <sz val="10"/>
        <color theme="1"/>
        <rFont val="맑은 고딕"/>
        <family val="3"/>
        <charset val="129"/>
        <scheme val="minor"/>
      </rPr>
      <t xml:space="preserve">^3/8*Cc^3) </t>
    </r>
    <r>
      <rPr>
        <sz val="10"/>
        <color theme="1"/>
        <rFont val="맑은 고딕"/>
        <family val="3"/>
        <charset val="129"/>
      </rPr>
      <t xml:space="preserve">→ </t>
    </r>
    <r>
      <rPr>
        <sz val="10"/>
        <color theme="1"/>
        <rFont val="맑은 고딕"/>
        <family val="3"/>
        <charset val="129"/>
        <scheme val="minor"/>
      </rPr>
      <t>(5/3) + (3*세장비/8*Cc) - (</t>
    </r>
    <r>
      <rPr>
        <sz val="10"/>
        <color rgb="FFFF0000"/>
        <rFont val="맑은 고딕"/>
        <family val="3"/>
        <charset val="129"/>
        <scheme val="minor"/>
      </rPr>
      <t>세장비</t>
    </r>
    <r>
      <rPr>
        <sz val="10"/>
        <color theme="1"/>
        <rFont val="맑은 고딕"/>
        <family val="3"/>
        <charset val="129"/>
        <scheme val="minor"/>
      </rPr>
      <t>^3/8*Cc^3)</t>
    </r>
    <phoneticPr fontId="6" type="noConversion"/>
  </si>
  <si>
    <t>1차 sheet 완성
   - Midas gen 의 ASD 89 적용시에는 휨응력을 My/I 로 적용함. 본 sheet 는 M/S 값을 적용하여 미세한 차이가 있음.(S :공칭단면계수)</t>
    <phoneticPr fontId="1" type="noConversion"/>
  </si>
  <si>
    <t>C-100X50X5X7.5</t>
    <phoneticPr fontId="1" type="noConversion"/>
  </si>
  <si>
    <t>C-125X65x6x8</t>
    <phoneticPr fontId="1" type="noConversion"/>
  </si>
  <si>
    <t>C-150x75x6.5x10</t>
    <phoneticPr fontId="1" type="noConversion"/>
  </si>
  <si>
    <t>C-200x90x8x13.5</t>
    <phoneticPr fontId="1" type="noConversion"/>
  </si>
  <si>
    <t>(Note4)</t>
    <phoneticPr fontId="1" type="noConversion"/>
  </si>
  <si>
    <t>rc</t>
    <phoneticPr fontId="1" type="noConversion"/>
  </si>
  <si>
    <t>Note4.  압축플랜지 + 압축 web height (net) /3 의 약축에 대한 단면2차 반경.  AISC ASD 89 에서 rT</t>
    <phoneticPr fontId="1" type="noConversion"/>
  </si>
  <si>
    <t>C -</t>
    <phoneticPr fontId="1" type="noConversion"/>
  </si>
  <si>
    <t>Channel 부재 단면 추가 및 변위 산정 table 추가</t>
    <phoneticPr fontId="6" type="noConversion"/>
  </si>
  <si>
    <t>2026.05.26</t>
    <phoneticPr fontId="6" type="noConversion"/>
  </si>
  <si>
    <t>작성자</t>
    <phoneticPr fontId="6" type="noConversion"/>
  </si>
  <si>
    <t>김재동</t>
    <phoneticPr fontId="6" type="noConversion"/>
  </si>
  <si>
    <t>Sheet update 이력</t>
    <phoneticPr fontId="1" type="noConversion"/>
  </si>
  <si>
    <t>건축구조설계팀</t>
    <phoneticPr fontId="1" type="noConversion"/>
  </si>
  <si>
    <t>H 형강</t>
    <phoneticPr fontId="1" type="noConversion"/>
  </si>
  <si>
    <t>Channel</t>
    <phoneticPr fontId="1" type="noConversion"/>
  </si>
  <si>
    <t>(14)</t>
    <phoneticPr fontId="1" type="noConversion"/>
  </si>
  <si>
    <t>F2-1</t>
    <phoneticPr fontId="1" type="noConversion"/>
  </si>
  <si>
    <t>F2-2</t>
  </si>
  <si>
    <t>Channel 부재 설계 table 추가</t>
    <phoneticPr fontId="6" type="noConversion"/>
  </si>
  <si>
    <t>2026.05.27</t>
    <phoneticPr fontId="6" type="noConversion"/>
  </si>
  <si>
    <t>11.</t>
    <phoneticPr fontId="1" type="noConversion"/>
  </si>
  <si>
    <t>Channel 부재는 약축 휨강성이 비대칭이므로, 해석 &amp; 자동 설계와 비교할 때는 해석에서 약축에 대해 양방향 횡하중 고려가 필요함.</t>
    <phoneticPr fontId="1" type="noConversion"/>
  </si>
  <si>
    <t>H-형강</t>
    <phoneticPr fontId="1" type="noConversion"/>
  </si>
  <si>
    <t>Lb &gt; Lc 인 경우</t>
    <phoneticPr fontId="1" type="noConversion"/>
  </si>
  <si>
    <t>12.</t>
    <phoneticPr fontId="1" type="noConversion"/>
  </si>
  <si>
    <t xml:space="preserve">Nomenclature : ASME BPVC.III.1.NF-2025, NF 3300 기준임. </t>
    <phoneticPr fontId="1" type="noConversion"/>
  </si>
  <si>
    <t>Channel 부재의 약축 휨 규정은 ASME BPVC.III.1.NF-2025, NF 3300 및 AISC ASD 89 에 명확하지 않음. 따라서 최소 값인 AISC ASD 89 F2-2 수식 적용함.</t>
    <phoneticPr fontId="1" type="noConversion"/>
  </si>
  <si>
    <t>ASME BPVC.III.1.NF-2025, NF 3300, NF-3322.1 (d). (5) 참고</t>
    <phoneticPr fontId="1" type="noConversion"/>
  </si>
  <si>
    <t xml:space="preserve">7. Pipe 비구속 방향의 변위(횡변위) H/200 </t>
    <phoneticPr fontId="1" type="noConversion"/>
  </si>
  <si>
    <t>Notional load ratio(H2) :</t>
    <phoneticPr fontId="1" type="noConversion"/>
  </si>
  <si>
    <t>6. Pipe 구속 방향의 변위(수직처짐) 한계는 배관 installation tolerance (1/16" = 1.5875mm) 감안하여 1/16"</t>
    <phoneticPr fontId="1" type="noConversion"/>
  </si>
  <si>
    <t>Stress govern</t>
  </si>
  <si>
    <t>Stress govern : target 70%</t>
    <phoneticPr fontId="1" type="noConversion"/>
  </si>
  <si>
    <t>세장비 say OK</t>
  </si>
  <si>
    <t>세장비 say OK</t>
    <phoneticPr fontId="1" type="noConversion"/>
  </si>
  <si>
    <t>operating case-1 : P+H1(friction)</t>
    <phoneticPr fontId="1" type="noConversion"/>
  </si>
  <si>
    <t>operating case-2 : P+H2(notional load)</t>
    <phoneticPr fontId="1" type="noConversion"/>
  </si>
  <si>
    <t>L -</t>
    <phoneticPr fontId="1" type="noConversion"/>
  </si>
  <si>
    <t>Angle</t>
    <phoneticPr fontId="1" type="noConversion"/>
  </si>
  <si>
    <t>L- 50 x 50 x 6</t>
    <phoneticPr fontId="1" type="noConversion"/>
  </si>
  <si>
    <t>L- 65 x 65 x 6</t>
    <phoneticPr fontId="1" type="noConversion"/>
  </si>
  <si>
    <t>L- 75 x 75 x 9</t>
    <phoneticPr fontId="1" type="noConversion"/>
  </si>
  <si>
    <t>mm⁴</t>
  </si>
  <si>
    <t>b</t>
    <phoneticPr fontId="1" type="noConversion"/>
  </si>
  <si>
    <t>t1</t>
    <phoneticPr fontId="1" type="noConversion"/>
  </si>
  <si>
    <t>t2</t>
    <phoneticPr fontId="1" type="noConversion"/>
  </si>
  <si>
    <t>b/t</t>
    <phoneticPr fontId="1" type="noConversion"/>
  </si>
  <si>
    <t>MEMEBR PROPERTY ( Channel )</t>
    <phoneticPr fontId="1" type="noConversion"/>
  </si>
  <si>
    <t>MEMEBR PROPERTY ( Single angle )</t>
    <phoneticPr fontId="1" type="noConversion"/>
  </si>
  <si>
    <t>Note1. ASME BPVC Sec.III. NF -2025, NF-II-3000 참고</t>
    <phoneticPr fontId="1" type="noConversion"/>
  </si>
  <si>
    <t>Q 검토</t>
    <phoneticPr fontId="1" type="noConversion"/>
  </si>
  <si>
    <t>Note3.  비틀림 상수.  NF-II-3000. (4). (b) 에서 2bt^3/3=t^2A/3 임.  본 table 에서는 midas gen 과 비교검증을 위해 동일한 계수 사용함 (round-off)</t>
    <phoneticPr fontId="1" type="noConversion"/>
  </si>
  <si>
    <t>171/sqrt(Sy)</t>
    <phoneticPr fontId="1" type="noConversion"/>
  </si>
  <si>
    <t>200/sqrt(Sy)</t>
    <phoneticPr fontId="1" type="noConversion"/>
  </si>
  <si>
    <t>407/sqrt(Sy)</t>
    <phoneticPr fontId="1" type="noConversion"/>
  </si>
  <si>
    <t xml:space="preserve">         b/t &lt;= 200/sqrt(Sy) 일때 경우 allowable compression stress 수식에 Q = 1 로 적용가능, 즉 H 형강과 동일 수식 </t>
    <phoneticPr fontId="1" type="noConversion"/>
  </si>
  <si>
    <t xml:space="preserve">         b/t &gt; 200/sqrt(Sy), 또는 b/t &gt; 407/sqrt(Sy) 일때 NF-II-3400 식 (6), (7) 참고 </t>
    <phoneticPr fontId="1" type="noConversion"/>
  </si>
  <si>
    <r>
      <t>KL/r 세장비
(</t>
    </r>
    <r>
      <rPr>
        <b/>
        <sz val="8"/>
        <rFont val="Calibri"/>
        <family val="3"/>
        <charset val="161"/>
      </rPr>
      <t>λ</t>
    </r>
    <r>
      <rPr>
        <b/>
        <sz val="8"/>
        <rFont val="맑은 고딕"/>
        <family val="3"/>
        <charset val="129"/>
        <scheme val="minor"/>
      </rPr>
      <t>)</t>
    </r>
    <phoneticPr fontId="1" type="noConversion"/>
  </si>
  <si>
    <t>Fej</t>
    <phoneticPr fontId="1" type="noConversion"/>
  </si>
  <si>
    <t>e'</t>
    <phoneticPr fontId="1" type="noConversion"/>
  </si>
  <si>
    <t>e' = Cx - t/2</t>
    <phoneticPr fontId="1" type="noConversion"/>
  </si>
  <si>
    <t>Cx (Cy)</t>
    <phoneticPr fontId="1" type="noConversion"/>
  </si>
  <si>
    <t>(Mpa)</t>
    <phoneticPr fontId="1" type="noConversion"/>
  </si>
  <si>
    <t>I_max</t>
    <phoneticPr fontId="1" type="noConversion"/>
  </si>
  <si>
    <t>ro^2</t>
    <phoneticPr fontId="1" type="noConversion"/>
  </si>
  <si>
    <t>r_max</t>
    <phoneticPr fontId="1" type="noConversion"/>
  </si>
  <si>
    <t>r_min</t>
    <phoneticPr fontId="1" type="noConversion"/>
  </si>
  <si>
    <t>I_min</t>
    <phoneticPr fontId="1" type="noConversion"/>
  </si>
  <si>
    <t>J
(by 2bt^3/3)</t>
    <phoneticPr fontId="1" type="noConversion"/>
  </si>
  <si>
    <t>J
(by At^2/3)</t>
    <phoneticPr fontId="1" type="noConversion"/>
  </si>
  <si>
    <t>5. Load case : firction H1 과 notional load H2 는 동시에 작용하지 않음. H2 는 기둥 최상단에 작용.</t>
    <phoneticPr fontId="1" type="noConversion"/>
  </si>
  <si>
    <t>Disp. Hor.
d2 (mm)</t>
    <phoneticPr fontId="1" type="noConversion"/>
  </si>
  <si>
    <t>Angle 부재 단면 추가 및 변위 산정 table 추가</t>
    <phoneticPr fontId="6" type="noConversion"/>
  </si>
  <si>
    <t>2026.05.28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</si>
</sst>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0.0"/>
    <numFmt numFmtId="177" formatCode="0.000"/>
    <numFmt numFmtId="178" formatCode="0.0_);[Red]\(0.0\)"/>
    <numFmt numFmtId="179" formatCode="0.0000"/>
    <numFmt numFmtId="180" formatCode="0.000000000"/>
    <numFmt numFmtId="181" formatCode="0.00000"/>
    <numFmt numFmtId="182" formatCode="0.000000000000_ "/>
    <numFmt numFmtId="183" formatCode="0_);[Red]\(0\)"/>
    <numFmt numFmtId="184" formatCode="0.0000000000000"/>
  </numFmts>
  <fonts count="4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u/>
      <sz val="8"/>
      <name val="맑은 고딕"/>
      <family val="3"/>
      <charset val="129"/>
      <scheme val="minor"/>
    </font>
    <font>
      <b/>
      <sz val="8"/>
      <color indexed="12"/>
      <name val="맑은 고딕"/>
      <family val="3"/>
      <charset val="129"/>
      <scheme val="minor"/>
    </font>
    <font>
      <b/>
      <sz val="8"/>
      <color rgb="FF0070C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b/>
      <sz val="6"/>
      <name val="맑은 고딕"/>
      <family val="3"/>
      <charset val="129"/>
      <scheme val="minor"/>
    </font>
    <font>
      <b/>
      <sz val="8.5"/>
      <name val="맑은 고딕"/>
      <family val="3"/>
      <charset val="129"/>
      <scheme val="minor"/>
    </font>
    <font>
      <sz val="6"/>
      <name val="돋움"/>
      <family val="3"/>
      <charset val="129"/>
    </font>
    <font>
      <sz val="8"/>
      <color rgb="FF0000FF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b/>
      <sz val="10"/>
      <color rgb="FFFF0000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color rgb="FF0070C0"/>
      <name val="돋움"/>
      <family val="3"/>
      <charset val="129"/>
    </font>
    <font>
      <b/>
      <sz val="10"/>
      <color rgb="FF0070C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0"/>
      <color indexed="23"/>
      <name val="맑은 고딕"/>
      <family val="3"/>
      <charset val="129"/>
      <scheme val="minor"/>
    </font>
    <font>
      <sz val="10"/>
      <color theme="0" tint="-0.3499862666707357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8"/>
      <name val="Calibri"/>
      <family val="3"/>
      <charset val="161"/>
    </font>
    <font>
      <sz val="9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1" fontId="15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36" fillId="0" borderId="0"/>
  </cellStyleXfs>
  <cellXfs count="29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3" fillId="0" borderId="0" xfId="0" quotePrefix="1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/>
    </xf>
    <xf numFmtId="176" fontId="6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right"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49" fontId="6" fillId="0" borderId="0" xfId="0" applyNumberFormat="1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6" fillId="0" borderId="16" xfId="0" applyFont="1" applyBorder="1" applyAlignment="1">
      <alignment horizontal="center" vertical="center"/>
    </xf>
    <xf numFmtId="176" fontId="9" fillId="0" borderId="17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right" vertical="center"/>
    </xf>
    <xf numFmtId="0" fontId="11" fillId="0" borderId="13" xfId="0" applyFont="1" applyBorder="1" applyAlignment="1">
      <alignment horizontal="left" vertical="center"/>
    </xf>
    <xf numFmtId="176" fontId="6" fillId="0" borderId="16" xfId="0" applyNumberFormat="1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176" fontId="6" fillId="0" borderId="17" xfId="0" applyNumberFormat="1" applyFont="1" applyBorder="1" applyAlignment="1">
      <alignment horizontal="center" vertical="center"/>
    </xf>
    <xf numFmtId="176" fontId="12" fillId="0" borderId="17" xfId="0" applyNumberFormat="1" applyFont="1" applyBorder="1" applyAlignment="1">
      <alignment horizontal="center" vertical="center"/>
    </xf>
    <xf numFmtId="176" fontId="6" fillId="0" borderId="18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76" fontId="6" fillId="0" borderId="26" xfId="0" applyNumberFormat="1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49" fontId="17" fillId="3" borderId="0" xfId="0" applyNumberFormat="1" applyFont="1" applyFill="1" applyAlignment="1">
      <alignment horizontal="center" vertical="top"/>
    </xf>
    <xf numFmtId="49" fontId="18" fillId="3" borderId="0" xfId="0" applyNumberFormat="1" applyFont="1" applyFill="1" applyAlignment="1">
      <alignment vertical="center" wrapText="1"/>
    </xf>
    <xf numFmtId="49" fontId="17" fillId="3" borderId="0" xfId="0" applyNumberFormat="1" applyFont="1" applyFill="1" applyAlignment="1">
      <alignment vertical="center" wrapText="1"/>
    </xf>
    <xf numFmtId="0" fontId="18" fillId="3" borderId="0" xfId="0" applyFont="1" applyFill="1" applyAlignment="1">
      <alignment horizontal="center" vertical="center" wrapText="1"/>
    </xf>
    <xf numFmtId="49" fontId="17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/>
    </xf>
    <xf numFmtId="0" fontId="9" fillId="2" borderId="2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Continuous" vertical="top" wrapText="1"/>
    </xf>
    <xf numFmtId="0" fontId="6" fillId="2" borderId="0" xfId="0" applyFont="1" applyFill="1" applyAlignment="1">
      <alignment horizontal="centerContinuous" vertical="top" wrapText="1"/>
    </xf>
    <xf numFmtId="49" fontId="6" fillId="2" borderId="19" xfId="0" applyNumberFormat="1" applyFont="1" applyFill="1" applyBorder="1" applyAlignment="1">
      <alignment horizontal="center" vertical="top"/>
    </xf>
    <xf numFmtId="49" fontId="6" fillId="2" borderId="20" xfId="0" applyNumberFormat="1" applyFont="1" applyFill="1" applyBorder="1" applyAlignment="1">
      <alignment horizontal="center" vertical="top"/>
    </xf>
    <xf numFmtId="49" fontId="6" fillId="2" borderId="21" xfId="0" applyNumberFormat="1" applyFont="1" applyFill="1" applyBorder="1" applyAlignment="1">
      <alignment horizontal="center" vertical="top"/>
    </xf>
    <xf numFmtId="49" fontId="9" fillId="2" borderId="5" xfId="0" applyNumberFormat="1" applyFont="1" applyFill="1" applyBorder="1" applyAlignment="1">
      <alignment vertical="center" wrapText="1"/>
    </xf>
    <xf numFmtId="49" fontId="6" fillId="2" borderId="20" xfId="0" applyNumberFormat="1" applyFont="1" applyFill="1" applyBorder="1" applyAlignment="1">
      <alignment vertical="center" wrapText="1"/>
    </xf>
    <xf numFmtId="49" fontId="6" fillId="2" borderId="7" xfId="0" applyNumberFormat="1" applyFont="1" applyFill="1" applyBorder="1" applyAlignment="1">
      <alignment horizontal="center" vertical="top"/>
    </xf>
    <xf numFmtId="176" fontId="9" fillId="0" borderId="9" xfId="0" applyNumberFormat="1" applyFont="1" applyBorder="1" applyAlignment="1">
      <alignment horizontal="center" vertical="center"/>
    </xf>
    <xf numFmtId="176" fontId="6" fillId="0" borderId="14" xfId="0" applyNumberFormat="1" applyFont="1" applyBorder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/>
    </xf>
    <xf numFmtId="176" fontId="12" fillId="0" borderId="9" xfId="0" applyNumberFormat="1" applyFont="1" applyBorder="1" applyAlignment="1">
      <alignment horizontal="center" vertical="center"/>
    </xf>
    <xf numFmtId="176" fontId="6" fillId="0" borderId="15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12" fillId="0" borderId="4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8" fontId="5" fillId="0" borderId="0" xfId="0" applyNumberFormat="1" applyFont="1" applyAlignment="1">
      <alignment horizontal="left" vertical="center"/>
    </xf>
    <xf numFmtId="0" fontId="6" fillId="3" borderId="0" xfId="0" applyFont="1" applyFill="1" applyAlignment="1">
      <alignment vertical="center"/>
    </xf>
    <xf numFmtId="49" fontId="6" fillId="3" borderId="0" xfId="0" applyNumberFormat="1" applyFont="1" applyFill="1" applyAlignment="1">
      <alignment horizontal="center" vertical="top"/>
    </xf>
    <xf numFmtId="0" fontId="6" fillId="3" borderId="0" xfId="0" applyFont="1" applyFill="1" applyAlignment="1">
      <alignment vertical="top"/>
    </xf>
    <xf numFmtId="0" fontId="7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2" fontId="6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80" fontId="6" fillId="0" borderId="0" xfId="0" applyNumberFormat="1" applyFont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176" fontId="16" fillId="0" borderId="9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right" vertical="center"/>
    </xf>
    <xf numFmtId="0" fontId="16" fillId="0" borderId="6" xfId="0" applyFont="1" applyBorder="1" applyAlignment="1">
      <alignment horizontal="left" vertical="center"/>
    </xf>
    <xf numFmtId="0" fontId="16" fillId="0" borderId="9" xfId="0" applyFont="1" applyBorder="1" applyAlignment="1">
      <alignment horizontal="center" vertical="center"/>
    </xf>
    <xf numFmtId="176" fontId="16" fillId="0" borderId="4" xfId="0" applyNumberFormat="1" applyFont="1" applyBorder="1" applyAlignment="1">
      <alignment horizontal="center" vertical="center"/>
    </xf>
    <xf numFmtId="176" fontId="22" fillId="0" borderId="4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1" xfId="0" applyFont="1" applyBorder="1" applyAlignment="1">
      <alignment horizontal="right" vertical="center"/>
    </xf>
    <xf numFmtId="0" fontId="16" fillId="0" borderId="2" xfId="0" applyFont="1" applyBorder="1" applyAlignment="1">
      <alignment horizontal="left" vertical="center"/>
    </xf>
    <xf numFmtId="182" fontId="9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" fontId="28" fillId="0" borderId="0" xfId="0" applyNumberFormat="1" applyFont="1" applyAlignment="1">
      <alignment horizontal="left"/>
    </xf>
    <xf numFmtId="0" fontId="23" fillId="0" borderId="0" xfId="0" applyFont="1"/>
    <xf numFmtId="0" fontId="26" fillId="2" borderId="4" xfId="0" applyFont="1" applyFill="1" applyBorder="1" applyAlignment="1">
      <alignment horizontal="center" vertical="center" wrapText="1"/>
    </xf>
    <xf numFmtId="0" fontId="26" fillId="2" borderId="2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indent="1"/>
    </xf>
    <xf numFmtId="0" fontId="30" fillId="0" borderId="4" xfId="0" applyFont="1" applyBorder="1" applyAlignment="1">
      <alignment horizontal="center"/>
    </xf>
    <xf numFmtId="0" fontId="29" fillId="0" borderId="23" xfId="0" applyFont="1" applyBorder="1" applyAlignment="1">
      <alignment horizont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177" fontId="7" fillId="0" borderId="0" xfId="0" applyNumberFormat="1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7" fillId="0" borderId="0" xfId="0" quotePrefix="1" applyFont="1" applyAlignment="1">
      <alignment horizontal="right" vertical="center"/>
    </xf>
    <xf numFmtId="0" fontId="7" fillId="0" borderId="0" xfId="0" applyFont="1" applyAlignment="1">
      <alignment horizontal="left"/>
    </xf>
    <xf numFmtId="177" fontId="29" fillId="0" borderId="4" xfId="0" applyNumberFormat="1" applyFont="1" applyBorder="1" applyAlignment="1">
      <alignment horizontal="center"/>
    </xf>
    <xf numFmtId="177" fontId="29" fillId="4" borderId="4" xfId="0" applyNumberFormat="1" applyFont="1" applyFill="1" applyBorder="1" applyAlignment="1">
      <alignment horizontal="center"/>
    </xf>
    <xf numFmtId="0" fontId="12" fillId="0" borderId="24" xfId="0" applyFont="1" applyBorder="1" applyAlignment="1">
      <alignment horizontal="righ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right" vertical="center"/>
    </xf>
    <xf numFmtId="0" fontId="12" fillId="0" borderId="2" xfId="0" applyFont="1" applyBorder="1" applyAlignment="1">
      <alignment horizontal="left" vertical="center"/>
    </xf>
    <xf numFmtId="1" fontId="13" fillId="0" borderId="9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179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181" fontId="33" fillId="0" borderId="0" xfId="0" applyNumberFormat="1" applyFont="1" applyAlignment="1">
      <alignment horizontal="center" vertical="center"/>
    </xf>
    <xf numFmtId="177" fontId="33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9" fontId="23" fillId="0" borderId="0" xfId="2" applyFont="1" applyAlignment="1">
      <alignment horizontal="left"/>
    </xf>
    <xf numFmtId="0" fontId="3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 wrapText="1"/>
    </xf>
    <xf numFmtId="0" fontId="31" fillId="0" borderId="4" xfId="0" applyFont="1" applyBorder="1" applyAlignment="1">
      <alignment vertical="center"/>
    </xf>
    <xf numFmtId="2" fontId="3" fillId="0" borderId="4" xfId="0" applyNumberFormat="1" applyFont="1" applyBorder="1" applyAlignment="1">
      <alignment vertical="center"/>
    </xf>
    <xf numFmtId="176" fontId="3" fillId="0" borderId="4" xfId="0" applyNumberFormat="1" applyFont="1" applyBorder="1" applyAlignment="1">
      <alignment vertical="center"/>
    </xf>
    <xf numFmtId="2" fontId="3" fillId="0" borderId="4" xfId="0" applyNumberFormat="1" applyFont="1" applyBorder="1" applyAlignment="1">
      <alignment horizontal="center" vertical="center"/>
    </xf>
    <xf numFmtId="2" fontId="22" fillId="5" borderId="4" xfId="0" applyNumberFormat="1" applyFont="1" applyFill="1" applyBorder="1" applyAlignment="1">
      <alignment horizontal="center" vertical="center"/>
    </xf>
    <xf numFmtId="2" fontId="22" fillId="5" borderId="23" xfId="0" applyNumberFormat="1" applyFont="1" applyFill="1" applyBorder="1" applyAlignment="1">
      <alignment horizontal="center" vertical="center"/>
    </xf>
    <xf numFmtId="177" fontId="29" fillId="5" borderId="4" xfId="0" applyNumberFormat="1" applyFont="1" applyFill="1" applyBorder="1" applyAlignment="1">
      <alignment horizontal="center"/>
    </xf>
    <xf numFmtId="0" fontId="25" fillId="0" borderId="49" xfId="0" applyFont="1" applyBorder="1" applyAlignment="1">
      <alignment horizontal="center" vertical="center"/>
    </xf>
    <xf numFmtId="176" fontId="16" fillId="0" borderId="45" xfId="0" applyNumberFormat="1" applyFont="1" applyBorder="1" applyAlignment="1">
      <alignment horizontal="center" vertical="center"/>
    </xf>
    <xf numFmtId="0" fontId="16" fillId="0" borderId="50" xfId="0" applyFont="1" applyBorder="1" applyAlignment="1">
      <alignment horizontal="right" vertical="center"/>
    </xf>
    <xf numFmtId="0" fontId="16" fillId="0" borderId="51" xfId="0" applyFont="1" applyBorder="1" applyAlignment="1">
      <alignment horizontal="left" vertical="center"/>
    </xf>
    <xf numFmtId="0" fontId="16" fillId="0" borderId="45" xfId="0" applyFont="1" applyBorder="1" applyAlignment="1">
      <alignment horizontal="center" vertical="center"/>
    </xf>
    <xf numFmtId="176" fontId="22" fillId="0" borderId="45" xfId="0" applyNumberFormat="1" applyFont="1" applyBorder="1" applyAlignment="1">
      <alignment horizontal="center" vertical="center"/>
    </xf>
    <xf numFmtId="177" fontId="29" fillId="0" borderId="45" xfId="0" applyNumberFormat="1" applyFont="1" applyBorder="1" applyAlignment="1">
      <alignment horizontal="center"/>
    </xf>
    <xf numFmtId="177" fontId="29" fillId="4" borderId="45" xfId="0" applyNumberFormat="1" applyFont="1" applyFill="1" applyBorder="1" applyAlignment="1">
      <alignment horizontal="center"/>
    </xf>
    <xf numFmtId="0" fontId="30" fillId="0" borderId="45" xfId="0" applyFont="1" applyBorder="1" applyAlignment="1">
      <alignment horizontal="center"/>
    </xf>
    <xf numFmtId="0" fontId="29" fillId="0" borderId="48" xfId="0" applyFont="1" applyBorder="1" applyAlignment="1">
      <alignment horizontal="center"/>
    </xf>
    <xf numFmtId="177" fontId="12" fillId="0" borderId="4" xfId="0" applyNumberFormat="1" applyFont="1" applyBorder="1" applyAlignment="1">
      <alignment horizontal="center" vertical="center"/>
    </xf>
    <xf numFmtId="0" fontId="37" fillId="0" borderId="4" xfId="3" applyFont="1" applyBorder="1" applyAlignment="1">
      <alignment vertical="center"/>
    </xf>
    <xf numFmtId="0" fontId="37" fillId="0" borderId="0" xfId="3" applyFont="1" applyAlignment="1">
      <alignment vertical="center"/>
    </xf>
    <xf numFmtId="0" fontId="37" fillId="0" borderId="4" xfId="3" applyFont="1" applyBorder="1" applyAlignment="1">
      <alignment vertical="center" wrapText="1"/>
    </xf>
    <xf numFmtId="0" fontId="37" fillId="0" borderId="4" xfId="3" applyFont="1" applyBorder="1" applyAlignment="1">
      <alignment horizontal="center" vertical="center"/>
    </xf>
    <xf numFmtId="0" fontId="37" fillId="0" borderId="0" xfId="3" applyFont="1" applyAlignment="1">
      <alignment horizontal="center" vertical="center"/>
    </xf>
    <xf numFmtId="2" fontId="3" fillId="6" borderId="4" xfId="0" applyNumberFormat="1" applyFont="1" applyFill="1" applyBorder="1" applyAlignment="1">
      <alignment vertical="center"/>
    </xf>
    <xf numFmtId="11" fontId="3" fillId="0" borderId="0" xfId="0" applyNumberFormat="1" applyFont="1"/>
    <xf numFmtId="183" fontId="6" fillId="0" borderId="0" xfId="0" applyNumberFormat="1" applyFont="1"/>
    <xf numFmtId="184" fontId="6" fillId="0" borderId="0" xfId="0" applyNumberFormat="1" applyFont="1"/>
    <xf numFmtId="176" fontId="6" fillId="6" borderId="9" xfId="0" applyNumberFormat="1" applyFont="1" applyFill="1" applyBorder="1" applyAlignment="1">
      <alignment horizontal="center" vertical="center"/>
    </xf>
    <xf numFmtId="176" fontId="6" fillId="6" borderId="22" xfId="0" applyNumberFormat="1" applyFont="1" applyFill="1" applyBorder="1" applyAlignment="1">
      <alignment horizontal="center" vertical="center"/>
    </xf>
    <xf numFmtId="49" fontId="17" fillId="6" borderId="0" xfId="0" applyNumberFormat="1" applyFont="1" applyFill="1" applyAlignment="1">
      <alignment horizontal="center" vertical="top"/>
    </xf>
    <xf numFmtId="0" fontId="2" fillId="2" borderId="52" xfId="0" applyFont="1" applyFill="1" applyBorder="1" applyAlignment="1">
      <alignment horizontal="center" vertical="center"/>
    </xf>
    <xf numFmtId="181" fontId="3" fillId="0" borderId="4" xfId="0" applyNumberFormat="1" applyFont="1" applyBorder="1" applyAlignment="1">
      <alignment vertical="center"/>
    </xf>
    <xf numFmtId="0" fontId="30" fillId="6" borderId="4" xfId="0" applyFont="1" applyFill="1" applyBorder="1" applyAlignment="1">
      <alignment horizontal="center"/>
    </xf>
    <xf numFmtId="177" fontId="29" fillId="6" borderId="4" xfId="0" applyNumberFormat="1" applyFont="1" applyFill="1" applyBorder="1" applyAlignment="1">
      <alignment horizontal="center"/>
    </xf>
    <xf numFmtId="9" fontId="23" fillId="6" borderId="0" xfId="2" applyFont="1" applyFill="1" applyAlignment="1">
      <alignment horizontal="left"/>
    </xf>
    <xf numFmtId="176" fontId="22" fillId="6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29" fillId="6" borderId="23" xfId="0" applyFont="1" applyFill="1" applyBorder="1" applyAlignment="1">
      <alignment horizontal="center"/>
    </xf>
    <xf numFmtId="176" fontId="13" fillId="6" borderId="9" xfId="0" applyNumberFormat="1" applyFont="1" applyFill="1" applyBorder="1" applyAlignment="1">
      <alignment horizontal="center" vertical="center"/>
    </xf>
    <xf numFmtId="181" fontId="3" fillId="5" borderId="4" xfId="0" applyNumberFormat="1" applyFont="1" applyFill="1" applyBorder="1" applyAlignment="1">
      <alignment vertical="center"/>
    </xf>
    <xf numFmtId="176" fontId="3" fillId="5" borderId="4" xfId="0" applyNumberFormat="1" applyFont="1" applyFill="1" applyBorder="1" applyAlignment="1">
      <alignment vertical="center"/>
    </xf>
    <xf numFmtId="2" fontId="3" fillId="5" borderId="4" xfId="0" applyNumberFormat="1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177" fontId="29" fillId="0" borderId="0" xfId="0" applyNumberFormat="1" applyFont="1" applyAlignment="1">
      <alignment horizontal="center"/>
    </xf>
    <xf numFmtId="177" fontId="29" fillId="4" borderId="0" xfId="0" applyNumberFormat="1" applyFont="1" applyFill="1" applyAlignment="1">
      <alignment horizontal="center"/>
    </xf>
    <xf numFmtId="0" fontId="3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76" fontId="3" fillId="5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7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6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26" fillId="2" borderId="46" xfId="0" applyFont="1" applyFill="1" applyBorder="1" applyAlignment="1">
      <alignment horizontal="center" vertical="center" wrapText="1"/>
    </xf>
    <xf numFmtId="0" fontId="26" fillId="2" borderId="47" xfId="0" applyFont="1" applyFill="1" applyBorder="1" applyAlignment="1">
      <alignment horizontal="center" vertical="center" wrapText="1"/>
    </xf>
    <xf numFmtId="0" fontId="26" fillId="2" borderId="36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26" fillId="2" borderId="37" xfId="0" applyFont="1" applyFill="1" applyBorder="1" applyAlignment="1">
      <alignment horizontal="center" vertical="center" wrapText="1"/>
    </xf>
    <xf numFmtId="0" fontId="26" fillId="2" borderId="3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40" fillId="0" borderId="0" xfId="3" applyFont="1" applyAlignment="1">
      <alignment horizontal="center" vertical="center"/>
    </xf>
    <xf numFmtId="0" fontId="8" fillId="3" borderId="53" xfId="0" applyFont="1" applyFill="1" applyBorder="1" applyAlignment="1">
      <alignment horizontal="center" vertical="center" wrapText="1"/>
    </xf>
    <xf numFmtId="0" fontId="8" fillId="3" borderId="54" xfId="0" applyFont="1" applyFill="1" applyBorder="1" applyAlignment="1">
      <alignment horizontal="center" vertical="center" wrapText="1"/>
    </xf>
    <xf numFmtId="0" fontId="8" fillId="3" borderId="55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top"/>
    </xf>
    <xf numFmtId="49" fontId="17" fillId="2" borderId="1" xfId="0" applyNumberFormat="1" applyFont="1" applyFill="1" applyBorder="1" applyAlignment="1">
      <alignment horizontal="center" vertical="center"/>
    </xf>
    <xf numFmtId="49" fontId="17" fillId="2" borderId="2" xfId="0" applyNumberFormat="1" applyFont="1" applyFill="1" applyBorder="1" applyAlignment="1">
      <alignment horizontal="center" vertical="center"/>
    </xf>
    <xf numFmtId="49" fontId="17" fillId="2" borderId="3" xfId="0" applyNumberFormat="1" applyFont="1" applyFill="1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0" fillId="0" borderId="34" xfId="0" applyBorder="1"/>
    <xf numFmtId="0" fontId="9" fillId="2" borderId="2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9" fillId="2" borderId="35" xfId="0" applyFont="1" applyFill="1" applyBorder="1" applyAlignment="1">
      <alignment horizontal="center" vertical="center" wrapText="1"/>
    </xf>
    <xf numFmtId="0" fontId="0" fillId="0" borderId="11" xfId="0" applyBorder="1"/>
    <xf numFmtId="0" fontId="9" fillId="2" borderId="25" xfId="0" applyFont="1" applyFill="1" applyBorder="1" applyAlignment="1">
      <alignment horizontal="center" vertical="center" wrapText="1"/>
    </xf>
    <xf numFmtId="0" fontId="0" fillId="0" borderId="0" xfId="0"/>
    <xf numFmtId="0" fontId="0" fillId="0" borderId="25" xfId="0" applyBorder="1"/>
    <xf numFmtId="0" fontId="0" fillId="0" borderId="8" xfId="0" applyBorder="1"/>
    <xf numFmtId="0" fontId="9" fillId="2" borderId="4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0" fillId="0" borderId="3" xfId="0" applyBorder="1"/>
    <xf numFmtId="0" fontId="9" fillId="2" borderId="33" xfId="0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31" xfId="0" applyBorder="1"/>
    <xf numFmtId="0" fontId="9" fillId="2" borderId="2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0" fillId="2" borderId="10" xfId="0" applyFill="1" applyBorder="1"/>
    <xf numFmtId="0" fontId="3" fillId="2" borderId="4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4">
    <cellStyle name="백분율" xfId="2" builtinId="5"/>
    <cellStyle name="쉼표 [0] 3" xfId="1" xr:uid="{00000000-0005-0000-0000-000001000000}"/>
    <cellStyle name="표준" xfId="0" builtinId="0"/>
    <cellStyle name="표준 2" xfId="3" xr:uid="{E2006D3F-DCFC-4616-8869-DE0313B5F880}"/>
  </cellStyles>
  <dxfs count="0"/>
  <tableStyles count="0" defaultTableStyle="TableStyleMedium2" defaultPivotStyle="PivotStyleLight16"/>
  <colors>
    <mruColors>
      <color rgb="FFCCFF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302460</xdr:colOff>
      <xdr:row>27</xdr:row>
      <xdr:rowOff>21593</xdr:rowOff>
    </xdr:from>
    <xdr:to>
      <xdr:col>16</xdr:col>
      <xdr:colOff>747958</xdr:colOff>
      <xdr:row>28</xdr:row>
      <xdr:rowOff>178475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339615B2-21A2-2F69-58DC-7973A3BD6C33}"/>
            </a:ext>
          </a:extLst>
        </xdr:cNvPr>
        <xdr:cNvGrpSpPr/>
      </xdr:nvGrpSpPr>
      <xdr:grpSpPr>
        <a:xfrm>
          <a:off x="9603342" y="5165093"/>
          <a:ext cx="1196292" cy="347382"/>
          <a:chOff x="9707144" y="4403093"/>
          <a:chExt cx="1197472" cy="347382"/>
        </a:xfrm>
      </xdr:grpSpPr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1B7869DD-F053-4122-A9B4-9DBDC9494B16}"/>
              </a:ext>
            </a:extLst>
          </xdr:cNvPr>
          <xdr:cNvCxnSpPr/>
        </xdr:nvCxnSpPr>
        <xdr:spPr bwMode="auto">
          <a:xfrm>
            <a:off x="9734349" y="4403093"/>
            <a:ext cx="0" cy="347382"/>
          </a:xfrm>
          <a:prstGeom prst="lin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63500" cap="flat" cmpd="sng" algn="ctr">
            <a:solidFill>
              <a:schemeClr val="bg1">
                <a:lumMod val="85000"/>
              </a:schemeClr>
            </a:solidFill>
            <a:prstDash val="sysDash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39" name="직선 연결선 38">
            <a:extLst>
              <a:ext uri="{FF2B5EF4-FFF2-40B4-BE49-F238E27FC236}">
                <a16:creationId xmlns:a16="http://schemas.microsoft.com/office/drawing/2014/main" id="{939BF62E-F8F4-4457-9713-EC50A6F69F2C}"/>
              </a:ext>
            </a:extLst>
          </xdr:cNvPr>
          <xdr:cNvCxnSpPr/>
        </xdr:nvCxnSpPr>
        <xdr:spPr bwMode="auto">
          <a:xfrm>
            <a:off x="9707144" y="4585568"/>
            <a:ext cx="397408" cy="0"/>
          </a:xfrm>
          <a:prstGeom prst="lin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63500" cap="flat" cmpd="sng" algn="ctr">
            <a:solidFill>
              <a:schemeClr val="bg1">
                <a:lumMod val="85000"/>
              </a:schemeClr>
            </a:solidFill>
            <a:prstDash val="sysDash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29" name="직선 연결선 28">
            <a:extLst>
              <a:ext uri="{FF2B5EF4-FFF2-40B4-BE49-F238E27FC236}">
                <a16:creationId xmlns:a16="http://schemas.microsoft.com/office/drawing/2014/main" id="{F13DC375-FF0E-4955-8EDB-070FA6CF378E}"/>
              </a:ext>
            </a:extLst>
          </xdr:cNvPr>
          <xdr:cNvCxnSpPr/>
        </xdr:nvCxnSpPr>
        <xdr:spPr bwMode="auto">
          <a:xfrm flipH="1">
            <a:off x="9995145" y="4594835"/>
            <a:ext cx="909471" cy="1167"/>
          </a:xfrm>
          <a:prstGeom prst="lin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00" cap="flat" cmpd="sng" algn="ctr">
            <a:solidFill>
              <a:schemeClr val="bg1">
                <a:lumMod val="85000"/>
              </a:schemeClr>
            </a:solidFill>
            <a:prstDash val="sysDash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80" name="직선 연결선 79">
            <a:extLst>
              <a:ext uri="{FF2B5EF4-FFF2-40B4-BE49-F238E27FC236}">
                <a16:creationId xmlns:a16="http://schemas.microsoft.com/office/drawing/2014/main" id="{65FBE8E5-B641-48F6-80B3-79DEF03E3DA2}"/>
              </a:ext>
            </a:extLst>
          </xdr:cNvPr>
          <xdr:cNvCxnSpPr/>
        </xdr:nvCxnSpPr>
        <xdr:spPr bwMode="auto">
          <a:xfrm>
            <a:off x="9991519" y="4403093"/>
            <a:ext cx="0" cy="347382"/>
          </a:xfrm>
          <a:prstGeom prst="lin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63500" cap="flat" cmpd="sng" algn="ctr">
            <a:solidFill>
              <a:schemeClr val="bg1">
                <a:lumMod val="85000"/>
              </a:schemeClr>
            </a:solidFill>
            <a:prstDash val="sysDash"/>
            <a:round/>
            <a:headEnd type="none" w="med" len="med"/>
            <a:tailEnd type="none" w="med" len="med"/>
          </a:ln>
          <a:effectLst/>
        </xdr:spPr>
      </xdr:cxnSp>
    </xdr:grpSp>
    <xdr:clientData/>
  </xdr:twoCellAnchor>
  <xdr:twoCellAnchor>
    <xdr:from>
      <xdr:col>1</xdr:col>
      <xdr:colOff>381000</xdr:colOff>
      <xdr:row>18</xdr:row>
      <xdr:rowOff>168088</xdr:rowOff>
    </xdr:from>
    <xdr:to>
      <xdr:col>3</xdr:col>
      <xdr:colOff>224118</xdr:colOff>
      <xdr:row>18</xdr:row>
      <xdr:rowOff>168088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8BAD6641-EE7B-E446-3AC7-3A1D267BFF46}"/>
            </a:ext>
          </a:extLst>
        </xdr:cNvPr>
        <xdr:cNvCxnSpPr/>
      </xdr:nvCxnSpPr>
      <xdr:spPr bwMode="auto">
        <a:xfrm>
          <a:off x="1299882" y="2454088"/>
          <a:ext cx="1680883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392206</xdr:colOff>
      <xdr:row>18</xdr:row>
      <xdr:rowOff>168088</xdr:rowOff>
    </xdr:from>
    <xdr:to>
      <xdr:col>1</xdr:col>
      <xdr:colOff>392206</xdr:colOff>
      <xdr:row>32</xdr:row>
      <xdr:rowOff>156882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C1BA1C89-6FC9-1A1F-5F43-B721684C5DE8}"/>
            </a:ext>
          </a:extLst>
        </xdr:cNvPr>
        <xdr:cNvCxnSpPr/>
      </xdr:nvCxnSpPr>
      <xdr:spPr bwMode="auto">
        <a:xfrm>
          <a:off x="1311088" y="2454088"/>
          <a:ext cx="0" cy="265579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oneCellAnchor>
    <xdr:from>
      <xdr:col>0</xdr:col>
      <xdr:colOff>200264</xdr:colOff>
      <xdr:row>25</xdr:row>
      <xdr:rowOff>78442</xdr:rowOff>
    </xdr:from>
    <xdr:ext cx="296556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C61F30D-A0A5-D7CD-73D4-1978DEF8AC46}"/>
            </a:ext>
          </a:extLst>
        </xdr:cNvPr>
        <xdr:cNvSpPr txBox="1"/>
      </xdr:nvSpPr>
      <xdr:spPr>
        <a:xfrm>
          <a:off x="200264" y="3697942"/>
          <a:ext cx="29655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/>
            <a:t>H</a:t>
          </a:r>
          <a:endParaRPr lang="ko-KR" altLang="en-US" sz="1400" b="1"/>
        </a:p>
      </xdr:txBody>
    </xdr:sp>
    <xdr:clientData/>
  </xdr:oneCellAnchor>
  <xdr:twoCellAnchor>
    <xdr:from>
      <xdr:col>2</xdr:col>
      <xdr:colOff>347382</xdr:colOff>
      <xdr:row>16</xdr:row>
      <xdr:rowOff>33618</xdr:rowOff>
    </xdr:from>
    <xdr:to>
      <xdr:col>2</xdr:col>
      <xdr:colOff>347382</xdr:colOff>
      <xdr:row>18</xdr:row>
      <xdr:rowOff>100853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6EA73FA2-2F8E-C498-830C-50CA43B3DAF3}"/>
            </a:ext>
          </a:extLst>
        </xdr:cNvPr>
        <xdr:cNvCxnSpPr/>
      </xdr:nvCxnSpPr>
      <xdr:spPr bwMode="auto">
        <a:xfrm>
          <a:off x="2185147" y="1938618"/>
          <a:ext cx="0" cy="44823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oneCellAnchor>
    <xdr:from>
      <xdr:col>1</xdr:col>
      <xdr:colOff>600634</xdr:colOff>
      <xdr:row>15</xdr:row>
      <xdr:rowOff>73959</xdr:rowOff>
    </xdr:from>
    <xdr:ext cx="260584" cy="31149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992F13D-B447-41C1-B0E0-BB19AF997738}"/>
            </a:ext>
          </a:extLst>
        </xdr:cNvPr>
        <xdr:cNvSpPr txBox="1"/>
      </xdr:nvSpPr>
      <xdr:spPr>
        <a:xfrm>
          <a:off x="925605" y="1788459"/>
          <a:ext cx="26058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/>
            <a:t>L</a:t>
          </a:r>
          <a:endParaRPr lang="ko-KR" altLang="en-US" sz="1400" b="1"/>
        </a:p>
      </xdr:txBody>
    </xdr:sp>
    <xdr:clientData/>
  </xdr:oneCellAnchor>
  <xdr:oneCellAnchor>
    <xdr:from>
      <xdr:col>1</xdr:col>
      <xdr:colOff>573739</xdr:colOff>
      <xdr:row>13</xdr:row>
      <xdr:rowOff>136712</xdr:rowOff>
    </xdr:from>
    <xdr:ext cx="267189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B9F01A0-5A88-47A2-8E51-E9B162A6BB9C}"/>
            </a:ext>
          </a:extLst>
        </xdr:cNvPr>
        <xdr:cNvSpPr txBox="1"/>
      </xdr:nvSpPr>
      <xdr:spPr>
        <a:xfrm>
          <a:off x="898710" y="1470212"/>
          <a:ext cx="26718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/>
            <a:t>x</a:t>
          </a:r>
          <a:endParaRPr lang="ko-KR" altLang="en-US" sz="1400" b="1"/>
        </a:p>
      </xdr:txBody>
    </xdr:sp>
    <xdr:clientData/>
  </xdr:oneCellAnchor>
  <xdr:twoCellAnchor>
    <xdr:from>
      <xdr:col>1</xdr:col>
      <xdr:colOff>112059</xdr:colOff>
      <xdr:row>18</xdr:row>
      <xdr:rowOff>145676</xdr:rowOff>
    </xdr:from>
    <xdr:to>
      <xdr:col>1</xdr:col>
      <xdr:colOff>112059</xdr:colOff>
      <xdr:row>32</xdr:row>
      <xdr:rowOff>134471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CDDBD2BE-8D3C-B310-AA6A-F86DD54172E0}"/>
            </a:ext>
          </a:extLst>
        </xdr:cNvPr>
        <xdr:cNvCxnSpPr/>
      </xdr:nvCxnSpPr>
      <xdr:spPr bwMode="auto">
        <a:xfrm>
          <a:off x="1030941" y="2431676"/>
          <a:ext cx="0" cy="265579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arrow" w="med" len="med"/>
          <a:tailEnd type="arrow"/>
        </a:ln>
        <a:effectLst/>
      </xdr:spPr>
    </xdr:cxnSp>
    <xdr:clientData/>
  </xdr:twoCellAnchor>
  <xdr:twoCellAnchor>
    <xdr:from>
      <xdr:col>1</xdr:col>
      <xdr:colOff>336177</xdr:colOff>
      <xdr:row>15</xdr:row>
      <xdr:rowOff>11206</xdr:rowOff>
    </xdr:from>
    <xdr:to>
      <xdr:col>3</xdr:col>
      <xdr:colOff>179295</xdr:colOff>
      <xdr:row>15</xdr:row>
      <xdr:rowOff>11206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40C405A1-588C-4318-99C7-FF1F0540DEFD}"/>
            </a:ext>
          </a:extLst>
        </xdr:cNvPr>
        <xdr:cNvCxnSpPr/>
      </xdr:nvCxnSpPr>
      <xdr:spPr bwMode="auto">
        <a:xfrm flipH="1">
          <a:off x="1255059" y="1725706"/>
          <a:ext cx="1680883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arrow" w="med" len="med"/>
          <a:tailEnd type="arrow"/>
        </a:ln>
        <a:effectLst/>
      </xdr:spPr>
    </xdr:cxnSp>
    <xdr:clientData/>
  </xdr:twoCellAnchor>
  <xdr:twoCellAnchor>
    <xdr:from>
      <xdr:col>1</xdr:col>
      <xdr:colOff>320488</xdr:colOff>
      <xdr:row>17</xdr:row>
      <xdr:rowOff>17930</xdr:rowOff>
    </xdr:from>
    <xdr:to>
      <xdr:col>2</xdr:col>
      <xdr:colOff>313764</xdr:colOff>
      <xdr:row>17</xdr:row>
      <xdr:rowOff>17930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CFA37BBA-D23B-4D14-A461-9F74A26DF910}"/>
            </a:ext>
          </a:extLst>
        </xdr:cNvPr>
        <xdr:cNvCxnSpPr/>
      </xdr:nvCxnSpPr>
      <xdr:spPr bwMode="auto">
        <a:xfrm flipH="1">
          <a:off x="1239370" y="2113430"/>
          <a:ext cx="912159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arrow" w="med" len="med"/>
          <a:tailEnd type="arrow"/>
        </a:ln>
        <a:effectLst/>
      </xdr:spPr>
    </xdr:cxnSp>
    <xdr:clientData/>
  </xdr:twoCellAnchor>
  <xdr:twoCellAnchor>
    <xdr:from>
      <xdr:col>1</xdr:col>
      <xdr:colOff>784412</xdr:colOff>
      <xdr:row>18</xdr:row>
      <xdr:rowOff>179293</xdr:rowOff>
    </xdr:from>
    <xdr:to>
      <xdr:col>2</xdr:col>
      <xdr:colOff>358587</xdr:colOff>
      <xdr:row>18</xdr:row>
      <xdr:rowOff>179293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12BFCD02-9370-27E4-0A49-098DAEFD6314}"/>
            </a:ext>
          </a:extLst>
        </xdr:cNvPr>
        <xdr:cNvCxnSpPr/>
      </xdr:nvCxnSpPr>
      <xdr:spPr bwMode="auto">
        <a:xfrm>
          <a:off x="1703294" y="2465293"/>
          <a:ext cx="493058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</xdr:col>
      <xdr:colOff>189038</xdr:colOff>
      <xdr:row>19</xdr:row>
      <xdr:rowOff>11206</xdr:rowOff>
    </xdr:from>
    <xdr:to>
      <xdr:col>1</xdr:col>
      <xdr:colOff>425823</xdr:colOff>
      <xdr:row>20</xdr:row>
      <xdr:rowOff>40925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CA7B5FC5-AECE-41AD-8AEE-D4864E4D1948}"/>
            </a:ext>
          </a:extLst>
        </xdr:cNvPr>
        <xdr:cNvCxnSpPr/>
      </xdr:nvCxnSpPr>
      <xdr:spPr bwMode="auto">
        <a:xfrm flipV="1">
          <a:off x="424362" y="3630706"/>
          <a:ext cx="236785" cy="2202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oneCellAnchor>
    <xdr:from>
      <xdr:col>2</xdr:col>
      <xdr:colOff>338415</xdr:colOff>
      <xdr:row>15</xdr:row>
      <xdr:rowOff>136712</xdr:rowOff>
    </xdr:from>
    <xdr:ext cx="280205" cy="311496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4842DB3-F602-4067-BD84-0D8F84626C43}"/>
            </a:ext>
          </a:extLst>
        </xdr:cNvPr>
        <xdr:cNvSpPr txBox="1"/>
      </xdr:nvSpPr>
      <xdr:spPr>
        <a:xfrm>
          <a:off x="2176180" y="1851212"/>
          <a:ext cx="28020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/>
            <a:t>P</a:t>
          </a:r>
          <a:endParaRPr lang="ko-KR" altLang="en-US" sz="1400" b="1"/>
        </a:p>
      </xdr:txBody>
    </xdr:sp>
    <xdr:clientData/>
  </xdr:oneCellAnchor>
  <xdr:oneCellAnchor>
    <xdr:from>
      <xdr:col>1</xdr:col>
      <xdr:colOff>566821</xdr:colOff>
      <xdr:row>17</xdr:row>
      <xdr:rowOff>58173</xdr:rowOff>
    </xdr:from>
    <xdr:ext cx="280205" cy="237564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6A605B1-0D39-46DE-88F2-F1F8A9D3E905}"/>
            </a:ext>
          </a:extLst>
        </xdr:cNvPr>
        <xdr:cNvSpPr txBox="1"/>
      </xdr:nvSpPr>
      <xdr:spPr>
        <a:xfrm>
          <a:off x="889843" y="2534673"/>
          <a:ext cx="280205" cy="2375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400" b="1"/>
            <a:t>H1</a:t>
          </a:r>
        </a:p>
      </xdr:txBody>
    </xdr:sp>
    <xdr:clientData/>
  </xdr:oneCellAnchor>
  <xdr:oneCellAnchor>
    <xdr:from>
      <xdr:col>1</xdr:col>
      <xdr:colOff>77173</xdr:colOff>
      <xdr:row>20</xdr:row>
      <xdr:rowOff>10427</xdr:rowOff>
    </xdr:from>
    <xdr:ext cx="388889" cy="311496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35E9E80-0204-44DA-8176-9B2DD8FFD6D5}"/>
            </a:ext>
          </a:extLst>
        </xdr:cNvPr>
        <xdr:cNvSpPr txBox="1"/>
      </xdr:nvSpPr>
      <xdr:spPr>
        <a:xfrm>
          <a:off x="312497" y="3820427"/>
          <a:ext cx="38888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/>
            <a:t>H2</a:t>
          </a:r>
          <a:endParaRPr lang="ko-KR" altLang="en-US" sz="1400" b="1"/>
        </a:p>
      </xdr:txBody>
    </xdr:sp>
    <xdr:clientData/>
  </xdr:oneCellAnchor>
  <xdr:twoCellAnchor>
    <xdr:from>
      <xdr:col>8</xdr:col>
      <xdr:colOff>93574</xdr:colOff>
      <xdr:row>18</xdr:row>
      <xdr:rowOff>168088</xdr:rowOff>
    </xdr:from>
    <xdr:to>
      <xdr:col>9</xdr:col>
      <xdr:colOff>372041</xdr:colOff>
      <xdr:row>18</xdr:row>
      <xdr:rowOff>168088</xdr:rowOff>
    </xdr:to>
    <xdr:cxnSp macro="">
      <xdr:nvCxnSpPr>
        <xdr:cNvPr id="40" name="직선 연결선 39">
          <a:extLst>
            <a:ext uri="{FF2B5EF4-FFF2-40B4-BE49-F238E27FC236}">
              <a16:creationId xmlns:a16="http://schemas.microsoft.com/office/drawing/2014/main" id="{24903F2E-7063-4D1B-887E-E008856621BB}"/>
            </a:ext>
          </a:extLst>
        </xdr:cNvPr>
        <xdr:cNvCxnSpPr/>
      </xdr:nvCxnSpPr>
      <xdr:spPr bwMode="auto">
        <a:xfrm>
          <a:off x="4228545" y="2835088"/>
          <a:ext cx="1029261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0" cap="flat" cmpd="sng" algn="ctr">
          <a:solidFill>
            <a:schemeClr val="bg1">
              <a:lumMod val="85000"/>
            </a:schemeClr>
          </a:solidFill>
          <a:prstDash val="sys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95255</xdr:colOff>
      <xdr:row>18</xdr:row>
      <xdr:rowOff>168088</xdr:rowOff>
    </xdr:from>
    <xdr:to>
      <xdr:col>8</xdr:col>
      <xdr:colOff>95255</xdr:colOff>
      <xdr:row>32</xdr:row>
      <xdr:rowOff>156882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854126A2-DC98-4341-BEAC-070F4390DA8D}"/>
            </a:ext>
          </a:extLst>
        </xdr:cNvPr>
        <xdr:cNvCxnSpPr/>
      </xdr:nvCxnSpPr>
      <xdr:spPr bwMode="auto">
        <a:xfrm>
          <a:off x="4230226" y="2835088"/>
          <a:ext cx="0" cy="265579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0" cap="flat" cmpd="sng" algn="ctr">
          <a:solidFill>
            <a:schemeClr val="bg1">
              <a:lumMod val="85000"/>
            </a:schemeClr>
          </a:solidFill>
          <a:prstDash val="sysDash"/>
          <a:round/>
          <a:headEnd type="none" w="med" len="med"/>
          <a:tailEnd type="none" w="med" len="med"/>
        </a:ln>
        <a:effectLst/>
      </xdr:spPr>
    </xdr:cxnSp>
    <xdr:clientData/>
  </xdr:twoCellAnchor>
  <xdr:oneCellAnchor>
    <xdr:from>
      <xdr:col>8</xdr:col>
      <xdr:colOff>590898</xdr:colOff>
      <xdr:row>18</xdr:row>
      <xdr:rowOff>116282</xdr:rowOff>
    </xdr:from>
    <xdr:ext cx="372025" cy="311496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0ACA6F4-04E1-40C4-98D6-F7FC3D43BF56}"/>
            </a:ext>
          </a:extLst>
        </xdr:cNvPr>
        <xdr:cNvSpPr txBox="1"/>
      </xdr:nvSpPr>
      <xdr:spPr>
        <a:xfrm>
          <a:off x="4725869" y="2783282"/>
          <a:ext cx="3720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/>
            <a:t>d1</a:t>
          </a:r>
          <a:endParaRPr lang="ko-KR" altLang="en-US" sz="1400" b="1"/>
        </a:p>
      </xdr:txBody>
    </xdr:sp>
    <xdr:clientData/>
  </xdr:oneCellAnchor>
  <xdr:twoCellAnchor>
    <xdr:from>
      <xdr:col>8</xdr:col>
      <xdr:colOff>89093</xdr:colOff>
      <xdr:row>19</xdr:row>
      <xdr:rowOff>8965</xdr:rowOff>
    </xdr:from>
    <xdr:to>
      <xdr:col>8</xdr:col>
      <xdr:colOff>364225</xdr:colOff>
      <xdr:row>32</xdr:row>
      <xdr:rowOff>186018</xdr:rowOff>
    </xdr:to>
    <xdr:cxnSp macro="">
      <xdr:nvCxnSpPr>
        <xdr:cNvPr id="55" name="직선 연결선 54">
          <a:extLst>
            <a:ext uri="{FF2B5EF4-FFF2-40B4-BE49-F238E27FC236}">
              <a16:creationId xmlns:a16="http://schemas.microsoft.com/office/drawing/2014/main" id="{8B458DEF-2429-42B1-9B28-829C2E2BE40E}"/>
            </a:ext>
          </a:extLst>
        </xdr:cNvPr>
        <xdr:cNvCxnSpPr/>
      </xdr:nvCxnSpPr>
      <xdr:spPr bwMode="auto">
        <a:xfrm flipH="1">
          <a:off x="4224064" y="2866465"/>
          <a:ext cx="275132" cy="2653553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889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372299</xdr:colOff>
      <xdr:row>19</xdr:row>
      <xdr:rowOff>51547</xdr:rowOff>
    </xdr:from>
    <xdr:to>
      <xdr:col>9</xdr:col>
      <xdr:colOff>374536</xdr:colOff>
      <xdr:row>20</xdr:row>
      <xdr:rowOff>156667</xdr:rowOff>
    </xdr:to>
    <xdr:cxnSp macro="">
      <xdr:nvCxnSpPr>
        <xdr:cNvPr id="57" name="직선 연결선 56">
          <a:extLst>
            <a:ext uri="{FF2B5EF4-FFF2-40B4-BE49-F238E27FC236}">
              <a16:creationId xmlns:a16="http://schemas.microsoft.com/office/drawing/2014/main" id="{BE57830E-54C3-43BB-9A55-C8241B8A6199}"/>
            </a:ext>
          </a:extLst>
        </xdr:cNvPr>
        <xdr:cNvCxnSpPr/>
      </xdr:nvCxnSpPr>
      <xdr:spPr bwMode="auto">
        <a:xfrm>
          <a:off x="4507270" y="2909047"/>
          <a:ext cx="753031" cy="29562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889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579345</xdr:colOff>
      <xdr:row>16</xdr:row>
      <xdr:rowOff>57710</xdr:rowOff>
    </xdr:from>
    <xdr:to>
      <xdr:col>8</xdr:col>
      <xdr:colOff>579345</xdr:colOff>
      <xdr:row>18</xdr:row>
      <xdr:rowOff>124945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72F63D93-7E28-4BEE-83FD-A8A02F7B6299}"/>
            </a:ext>
          </a:extLst>
        </xdr:cNvPr>
        <xdr:cNvCxnSpPr/>
      </xdr:nvCxnSpPr>
      <xdr:spPr bwMode="auto">
        <a:xfrm>
          <a:off x="4714316" y="2343710"/>
          <a:ext cx="0" cy="44823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</xdr:col>
      <xdr:colOff>599035</xdr:colOff>
      <xdr:row>18</xdr:row>
      <xdr:rowOff>108857</xdr:rowOff>
    </xdr:from>
    <xdr:to>
      <xdr:col>8</xdr:col>
      <xdr:colOff>599035</xdr:colOff>
      <xdr:row>20</xdr:row>
      <xdr:rowOff>43543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84F8B7DF-76DC-9DE7-D449-881F83B452C5}"/>
            </a:ext>
          </a:extLst>
        </xdr:cNvPr>
        <xdr:cNvCxnSpPr/>
      </xdr:nvCxnSpPr>
      <xdr:spPr bwMode="auto">
        <a:xfrm>
          <a:off x="4734006" y="2775857"/>
          <a:ext cx="0" cy="31568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arrow" w="med" len="med"/>
          <a:tailEnd type="arrow"/>
        </a:ln>
        <a:effectLst/>
      </xdr:spPr>
    </xdr:cxnSp>
    <xdr:clientData/>
  </xdr:twoCellAnchor>
  <xdr:twoCellAnchor>
    <xdr:from>
      <xdr:col>8</xdr:col>
      <xdr:colOff>94268</xdr:colOff>
      <xdr:row>18</xdr:row>
      <xdr:rowOff>41672</xdr:rowOff>
    </xdr:from>
    <xdr:to>
      <xdr:col>8</xdr:col>
      <xdr:colOff>399210</xdr:colOff>
      <xdr:row>18</xdr:row>
      <xdr:rowOff>41672</xdr:rowOff>
    </xdr:to>
    <xdr:cxnSp macro="">
      <xdr:nvCxnSpPr>
        <xdr:cNvPr id="71" name="직선 화살표 연결선 70">
          <a:extLst>
            <a:ext uri="{FF2B5EF4-FFF2-40B4-BE49-F238E27FC236}">
              <a16:creationId xmlns:a16="http://schemas.microsoft.com/office/drawing/2014/main" id="{54676A4C-A32E-AAF7-04E2-F10408A9032C}"/>
            </a:ext>
          </a:extLst>
        </xdr:cNvPr>
        <xdr:cNvCxnSpPr/>
      </xdr:nvCxnSpPr>
      <xdr:spPr bwMode="auto">
        <a:xfrm>
          <a:off x="4229239" y="2708672"/>
          <a:ext cx="304942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arrow"/>
          <a:tailEnd type="arrow"/>
        </a:ln>
        <a:effectLst/>
      </xdr:spPr>
    </xdr:cxnSp>
    <xdr:clientData/>
  </xdr:twoCellAnchor>
  <xdr:twoCellAnchor>
    <xdr:from>
      <xdr:col>2</xdr:col>
      <xdr:colOff>116343</xdr:colOff>
      <xdr:row>26</xdr:row>
      <xdr:rowOff>151957</xdr:rowOff>
    </xdr:from>
    <xdr:to>
      <xdr:col>3</xdr:col>
      <xdr:colOff>544487</xdr:colOff>
      <xdr:row>33</xdr:row>
      <xdr:rowOff>10736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B1DF5D7-515A-B532-274B-DC23096F8046}"/>
            </a:ext>
          </a:extLst>
        </xdr:cNvPr>
        <xdr:cNvGrpSpPr/>
      </xdr:nvGrpSpPr>
      <xdr:grpSpPr>
        <a:xfrm>
          <a:off x="1102461" y="5104957"/>
          <a:ext cx="1045588" cy="1192279"/>
          <a:chOff x="7971869" y="3989295"/>
          <a:chExt cx="1188414" cy="1192279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C061836C-D1C9-4477-BAA6-C7E7CA761A8C}"/>
              </a:ext>
            </a:extLst>
          </xdr:cNvPr>
          <xdr:cNvSpPr txBox="1"/>
        </xdr:nvSpPr>
        <xdr:spPr>
          <a:xfrm>
            <a:off x="7971869" y="3989295"/>
            <a:ext cx="270459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400" b="1"/>
              <a:t>Z</a:t>
            </a:r>
            <a:endParaRPr lang="ko-KR" altLang="en-US" sz="1400" b="1"/>
          </a:p>
        </xdr:txBody>
      </xdr:sp>
      <xdr:cxnSp macro="">
        <xdr:nvCxnSpPr>
          <xdr:cNvPr id="77" name="직선 화살표 연결선 76">
            <a:extLst>
              <a:ext uri="{FF2B5EF4-FFF2-40B4-BE49-F238E27FC236}">
                <a16:creationId xmlns:a16="http://schemas.microsoft.com/office/drawing/2014/main" id="{B674F059-065B-3E49-60E5-0277D3CA59EE}"/>
              </a:ext>
            </a:extLst>
          </xdr:cNvPr>
          <xdr:cNvCxnSpPr/>
        </xdr:nvCxnSpPr>
        <xdr:spPr bwMode="auto">
          <a:xfrm>
            <a:off x="8117541" y="5042647"/>
            <a:ext cx="774887" cy="0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79" name="직선 화살표 연결선 78">
            <a:extLst>
              <a:ext uri="{FF2B5EF4-FFF2-40B4-BE49-F238E27FC236}">
                <a16:creationId xmlns:a16="http://schemas.microsoft.com/office/drawing/2014/main" id="{86BFDEB6-CEE3-8D60-6353-E5B127D0ACE3}"/>
              </a:ext>
            </a:extLst>
          </xdr:cNvPr>
          <xdr:cNvCxnSpPr/>
        </xdr:nvCxnSpPr>
        <xdr:spPr bwMode="auto">
          <a:xfrm flipV="1">
            <a:off x="8117541" y="4291853"/>
            <a:ext cx="0" cy="750794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81" name="직선 화살표 연결선 80">
            <a:extLst>
              <a:ext uri="{FF2B5EF4-FFF2-40B4-BE49-F238E27FC236}">
                <a16:creationId xmlns:a16="http://schemas.microsoft.com/office/drawing/2014/main" id="{361ED10A-315A-6F62-55C2-ADAFD1FEF6D4}"/>
              </a:ext>
            </a:extLst>
          </xdr:cNvPr>
          <xdr:cNvCxnSpPr/>
        </xdr:nvCxnSpPr>
        <xdr:spPr bwMode="auto">
          <a:xfrm flipV="1">
            <a:off x="8117541" y="4560794"/>
            <a:ext cx="483534" cy="481853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BE8AF0F3-DD38-4E5A-85AB-9F7045A166A2}"/>
              </a:ext>
            </a:extLst>
          </xdr:cNvPr>
          <xdr:cNvSpPr txBox="1"/>
        </xdr:nvSpPr>
        <xdr:spPr>
          <a:xfrm>
            <a:off x="8876744" y="4870078"/>
            <a:ext cx="283539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400" b="1"/>
              <a:t>X</a:t>
            </a:r>
            <a:endParaRPr lang="ko-KR" altLang="en-US" sz="1400" b="1"/>
          </a:p>
        </xdr:txBody>
      </xdr:sp>
      <xdr:sp macro="" textlink="">
        <xdr:nvSpPr>
          <xdr:cNvPr id="83" name="TextBox 82">
            <a:extLst>
              <a:ext uri="{FF2B5EF4-FFF2-40B4-BE49-F238E27FC236}">
                <a16:creationId xmlns:a16="http://schemas.microsoft.com/office/drawing/2014/main" id="{27FADE2B-87C5-4FC1-8649-49B9ED6AC119}"/>
              </a:ext>
            </a:extLst>
          </xdr:cNvPr>
          <xdr:cNvSpPr txBox="1"/>
        </xdr:nvSpPr>
        <xdr:spPr>
          <a:xfrm>
            <a:off x="8590434" y="4305302"/>
            <a:ext cx="283539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400" b="1"/>
              <a:t>Y</a:t>
            </a:r>
            <a:endParaRPr lang="ko-KR" altLang="en-US" sz="1400" b="1"/>
          </a:p>
        </xdr:txBody>
      </xdr:sp>
    </xdr:grpSp>
    <xdr:clientData/>
  </xdr:twoCellAnchor>
  <xdr:oneCellAnchor>
    <xdr:from>
      <xdr:col>8</xdr:col>
      <xdr:colOff>91632</xdr:colOff>
      <xdr:row>16</xdr:row>
      <xdr:rowOff>101026</xdr:rowOff>
    </xdr:from>
    <xdr:ext cx="372025" cy="311496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9D520521-95E5-4669-BD43-170373E3E553}"/>
            </a:ext>
          </a:extLst>
        </xdr:cNvPr>
        <xdr:cNvSpPr txBox="1"/>
      </xdr:nvSpPr>
      <xdr:spPr>
        <a:xfrm>
          <a:off x="4226603" y="2387026"/>
          <a:ext cx="3720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/>
            <a:t>d2</a:t>
          </a:r>
          <a:endParaRPr lang="ko-KR" altLang="en-US" sz="1400" b="1"/>
        </a:p>
      </xdr:txBody>
    </xdr:sp>
    <xdr:clientData/>
  </xdr:oneCellAnchor>
  <xdr:twoCellAnchor>
    <xdr:from>
      <xdr:col>8</xdr:col>
      <xdr:colOff>257735</xdr:colOff>
      <xdr:row>20</xdr:row>
      <xdr:rowOff>9575</xdr:rowOff>
    </xdr:from>
    <xdr:to>
      <xdr:col>8</xdr:col>
      <xdr:colOff>587798</xdr:colOff>
      <xdr:row>20</xdr:row>
      <xdr:rowOff>9575</xdr:rowOff>
    </xdr:to>
    <xdr:cxnSp macro="">
      <xdr:nvCxnSpPr>
        <xdr:cNvPr id="90" name="직선 화살표 연결선 89">
          <a:extLst>
            <a:ext uri="{FF2B5EF4-FFF2-40B4-BE49-F238E27FC236}">
              <a16:creationId xmlns:a16="http://schemas.microsoft.com/office/drawing/2014/main" id="{3211B49B-8E2A-4F4F-A415-F257380515EA}"/>
            </a:ext>
          </a:extLst>
        </xdr:cNvPr>
        <xdr:cNvCxnSpPr/>
      </xdr:nvCxnSpPr>
      <xdr:spPr bwMode="auto">
        <a:xfrm>
          <a:off x="4392706" y="3057575"/>
          <a:ext cx="330063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12</xdr:col>
      <xdr:colOff>363899</xdr:colOff>
      <xdr:row>18</xdr:row>
      <xdr:rowOff>168088</xdr:rowOff>
    </xdr:from>
    <xdr:to>
      <xdr:col>12</xdr:col>
      <xdr:colOff>363899</xdr:colOff>
      <xdr:row>32</xdr:row>
      <xdr:rowOff>156882</xdr:rowOff>
    </xdr:to>
    <xdr:cxnSp macro="">
      <xdr:nvCxnSpPr>
        <xdr:cNvPr id="92" name="직선 연결선 91">
          <a:extLst>
            <a:ext uri="{FF2B5EF4-FFF2-40B4-BE49-F238E27FC236}">
              <a16:creationId xmlns:a16="http://schemas.microsoft.com/office/drawing/2014/main" id="{093F2A27-4F44-4804-AA5A-AA8B8B832EAF}"/>
            </a:ext>
          </a:extLst>
        </xdr:cNvPr>
        <xdr:cNvCxnSpPr/>
      </xdr:nvCxnSpPr>
      <xdr:spPr bwMode="auto">
        <a:xfrm>
          <a:off x="7502046" y="2835088"/>
          <a:ext cx="0" cy="265579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0" cap="flat" cmpd="sng" algn="ctr">
          <a:solidFill>
            <a:schemeClr val="bg1">
              <a:lumMod val="85000"/>
            </a:schemeClr>
          </a:solidFill>
          <a:prstDash val="sys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458229</xdr:colOff>
      <xdr:row>18</xdr:row>
      <xdr:rowOff>164828</xdr:rowOff>
    </xdr:from>
    <xdr:to>
      <xdr:col>13</xdr:col>
      <xdr:colOff>34164</xdr:colOff>
      <xdr:row>32</xdr:row>
      <xdr:rowOff>151381</xdr:rowOff>
    </xdr:to>
    <xdr:cxnSp macro="">
      <xdr:nvCxnSpPr>
        <xdr:cNvPr id="94" name="직선 연결선 93">
          <a:extLst>
            <a:ext uri="{FF2B5EF4-FFF2-40B4-BE49-F238E27FC236}">
              <a16:creationId xmlns:a16="http://schemas.microsoft.com/office/drawing/2014/main" id="{AD9C339E-656D-48FA-9BC8-A0612C441462}"/>
            </a:ext>
          </a:extLst>
        </xdr:cNvPr>
        <xdr:cNvCxnSpPr/>
      </xdr:nvCxnSpPr>
      <xdr:spPr bwMode="auto">
        <a:xfrm flipH="1">
          <a:off x="7596376" y="2831828"/>
          <a:ext cx="326729" cy="2653553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889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235324</xdr:colOff>
      <xdr:row>19</xdr:row>
      <xdr:rowOff>4278</xdr:rowOff>
    </xdr:from>
    <xdr:to>
      <xdr:col>13</xdr:col>
      <xdr:colOff>7388</xdr:colOff>
      <xdr:row>19</xdr:row>
      <xdr:rowOff>4278</xdr:rowOff>
    </xdr:to>
    <xdr:cxnSp macro="">
      <xdr:nvCxnSpPr>
        <xdr:cNvPr id="100" name="직선 화살표 연결선 99">
          <a:extLst>
            <a:ext uri="{FF2B5EF4-FFF2-40B4-BE49-F238E27FC236}">
              <a16:creationId xmlns:a16="http://schemas.microsoft.com/office/drawing/2014/main" id="{BF064B86-F100-49F5-8144-FE769E715D5E}"/>
            </a:ext>
          </a:extLst>
        </xdr:cNvPr>
        <xdr:cNvCxnSpPr/>
      </xdr:nvCxnSpPr>
      <xdr:spPr bwMode="auto">
        <a:xfrm>
          <a:off x="7283824" y="3623778"/>
          <a:ext cx="522858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12</xdr:col>
      <xdr:colOff>332278</xdr:colOff>
      <xdr:row>18</xdr:row>
      <xdr:rowOff>28066</xdr:rowOff>
    </xdr:from>
    <xdr:to>
      <xdr:col>13</xdr:col>
      <xdr:colOff>59872</xdr:colOff>
      <xdr:row>18</xdr:row>
      <xdr:rowOff>28066</xdr:rowOff>
    </xdr:to>
    <xdr:cxnSp macro="">
      <xdr:nvCxnSpPr>
        <xdr:cNvPr id="101" name="직선 화살표 연결선 100">
          <a:extLst>
            <a:ext uri="{FF2B5EF4-FFF2-40B4-BE49-F238E27FC236}">
              <a16:creationId xmlns:a16="http://schemas.microsoft.com/office/drawing/2014/main" id="{B233ED1E-1D50-4131-8B16-0994EB31B863}"/>
            </a:ext>
          </a:extLst>
        </xdr:cNvPr>
        <xdr:cNvCxnSpPr/>
      </xdr:nvCxnSpPr>
      <xdr:spPr bwMode="auto">
        <a:xfrm>
          <a:off x="7380778" y="3457066"/>
          <a:ext cx="478708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arrow"/>
          <a:tailEnd type="arrow"/>
        </a:ln>
        <a:effectLst/>
      </xdr:spPr>
    </xdr:cxnSp>
    <xdr:clientData/>
  </xdr:twoCellAnchor>
  <xdr:oneCellAnchor>
    <xdr:from>
      <xdr:col>12</xdr:col>
      <xdr:colOff>322157</xdr:colOff>
      <xdr:row>16</xdr:row>
      <xdr:rowOff>73812</xdr:rowOff>
    </xdr:from>
    <xdr:ext cx="581506" cy="311496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FA92D804-65D8-4254-B030-ADD8C215C6CD}"/>
            </a:ext>
          </a:extLst>
        </xdr:cNvPr>
        <xdr:cNvSpPr txBox="1"/>
      </xdr:nvSpPr>
      <xdr:spPr>
        <a:xfrm>
          <a:off x="7460304" y="2359812"/>
          <a:ext cx="5815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/>
            <a:t>d_ref</a:t>
          </a:r>
          <a:endParaRPr lang="ko-KR" altLang="en-US" sz="1400" b="1"/>
        </a:p>
      </xdr:txBody>
    </xdr:sp>
    <xdr:clientData/>
  </xdr:oneCellAnchor>
  <xdr:oneCellAnchor>
    <xdr:from>
      <xdr:col>14</xdr:col>
      <xdr:colOff>190248</xdr:colOff>
      <xdr:row>25</xdr:row>
      <xdr:rowOff>179713</xdr:rowOff>
    </xdr:from>
    <xdr:ext cx="581506" cy="311496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D6DB796-4BD3-435A-BD84-50573F7B395E}"/>
            </a:ext>
          </a:extLst>
        </xdr:cNvPr>
        <xdr:cNvSpPr txBox="1"/>
      </xdr:nvSpPr>
      <xdr:spPr>
        <a:xfrm>
          <a:off x="8829983" y="4180213"/>
          <a:ext cx="5815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/>
            <a:t>d_ref</a:t>
          </a:r>
          <a:endParaRPr lang="ko-KR" altLang="en-US" sz="1400" b="1"/>
        </a:p>
      </xdr:txBody>
    </xdr:sp>
    <xdr:clientData/>
  </xdr:oneCellAnchor>
  <xdr:twoCellAnchor>
    <xdr:from>
      <xdr:col>14</xdr:col>
      <xdr:colOff>723503</xdr:colOff>
      <xdr:row>25</xdr:row>
      <xdr:rowOff>24018</xdr:rowOff>
    </xdr:from>
    <xdr:to>
      <xdr:col>14</xdr:col>
      <xdr:colOff>723503</xdr:colOff>
      <xdr:row>28</xdr:row>
      <xdr:rowOff>19936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9F045A51-6068-4366-A0C9-EDE8FDBFCD5E}"/>
            </a:ext>
          </a:extLst>
        </xdr:cNvPr>
        <xdr:cNvCxnSpPr/>
      </xdr:nvCxnSpPr>
      <xdr:spPr bwMode="auto">
        <a:xfrm>
          <a:off x="9323217" y="4024518"/>
          <a:ext cx="0" cy="56741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arrow" w="med" len="med"/>
          <a:tailEnd type="arrow"/>
        </a:ln>
        <a:effectLst/>
      </xdr:spPr>
    </xdr:cxnSp>
    <xdr:clientData/>
  </xdr:twoCellAnchor>
  <xdr:twoCellAnchor>
    <xdr:from>
      <xdr:col>15</xdr:col>
      <xdr:colOff>450155</xdr:colOff>
      <xdr:row>28</xdr:row>
      <xdr:rowOff>92508</xdr:rowOff>
    </xdr:from>
    <xdr:to>
      <xdr:col>15</xdr:col>
      <xdr:colOff>450155</xdr:colOff>
      <xdr:row>30</xdr:row>
      <xdr:rowOff>93018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ACDA1D9E-50F7-488F-8DD6-BE88616CF14E}"/>
            </a:ext>
          </a:extLst>
        </xdr:cNvPr>
        <xdr:cNvCxnSpPr/>
      </xdr:nvCxnSpPr>
      <xdr:spPr bwMode="auto">
        <a:xfrm flipV="1">
          <a:off x="9751037" y="5426508"/>
          <a:ext cx="0" cy="3815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oneCellAnchor>
    <xdr:from>
      <xdr:col>8</xdr:col>
      <xdr:colOff>524113</xdr:colOff>
      <xdr:row>14</xdr:row>
      <xdr:rowOff>177533</xdr:rowOff>
    </xdr:from>
    <xdr:ext cx="280205" cy="31149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7894B6D-2C5F-414A-809A-D8122F962347}"/>
            </a:ext>
          </a:extLst>
        </xdr:cNvPr>
        <xdr:cNvSpPr txBox="1"/>
      </xdr:nvSpPr>
      <xdr:spPr>
        <a:xfrm>
          <a:off x="4659084" y="2082533"/>
          <a:ext cx="28020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/>
            <a:t>P</a:t>
          </a:r>
          <a:endParaRPr lang="ko-KR" altLang="en-US" sz="1400" b="1"/>
        </a:p>
      </xdr:txBody>
    </xdr:sp>
    <xdr:clientData/>
  </xdr:oneCellAnchor>
  <xdr:oneCellAnchor>
    <xdr:from>
      <xdr:col>7</xdr:col>
      <xdr:colOff>441816</xdr:colOff>
      <xdr:row>19</xdr:row>
      <xdr:rowOff>34508</xdr:rowOff>
    </xdr:from>
    <xdr:ext cx="280205" cy="237564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A3F64B5D-8D4B-4767-A3A2-6CF895892823}"/>
            </a:ext>
          </a:extLst>
        </xdr:cNvPr>
        <xdr:cNvSpPr txBox="1"/>
      </xdr:nvSpPr>
      <xdr:spPr>
        <a:xfrm>
          <a:off x="4083728" y="2892008"/>
          <a:ext cx="280205" cy="2375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400" b="1"/>
            <a:t>H1</a:t>
          </a:r>
        </a:p>
      </xdr:txBody>
    </xdr:sp>
    <xdr:clientData/>
  </xdr:oneCellAnchor>
  <xdr:oneCellAnchor>
    <xdr:from>
      <xdr:col>12</xdr:col>
      <xdr:colOff>326811</xdr:colOff>
      <xdr:row>19</xdr:row>
      <xdr:rowOff>45222</xdr:rowOff>
    </xdr:from>
    <xdr:ext cx="280205" cy="237564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E8C5A6CB-4377-4B81-BA32-6B8C1CDB6A56}"/>
            </a:ext>
          </a:extLst>
        </xdr:cNvPr>
        <xdr:cNvSpPr txBox="1"/>
      </xdr:nvSpPr>
      <xdr:spPr>
        <a:xfrm>
          <a:off x="7375311" y="3664722"/>
          <a:ext cx="280205" cy="2375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400" b="1"/>
            <a:t>H2</a:t>
          </a:r>
        </a:p>
      </xdr:txBody>
    </xdr:sp>
    <xdr:clientData/>
  </xdr:oneCellAnchor>
  <xdr:oneCellAnchor>
    <xdr:from>
      <xdr:col>15</xdr:col>
      <xdr:colOff>258775</xdr:colOff>
      <xdr:row>30</xdr:row>
      <xdr:rowOff>95412</xdr:rowOff>
    </xdr:from>
    <xdr:ext cx="280205" cy="237564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0EB18AA-1618-498B-8B3D-A78FD88346F1}"/>
            </a:ext>
          </a:extLst>
        </xdr:cNvPr>
        <xdr:cNvSpPr txBox="1"/>
      </xdr:nvSpPr>
      <xdr:spPr>
        <a:xfrm>
          <a:off x="9559657" y="5810412"/>
          <a:ext cx="280205" cy="2375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400" b="1"/>
            <a:t>H2</a:t>
          </a:r>
        </a:p>
      </xdr:txBody>
    </xdr:sp>
    <xdr:clientData/>
  </xdr:oneCellAnchor>
  <xdr:twoCellAnchor>
    <xdr:from>
      <xdr:col>16</xdr:col>
      <xdr:colOff>99557</xdr:colOff>
      <xdr:row>27</xdr:row>
      <xdr:rowOff>178848</xdr:rowOff>
    </xdr:from>
    <xdr:to>
      <xdr:col>16</xdr:col>
      <xdr:colOff>175597</xdr:colOff>
      <xdr:row>28</xdr:row>
      <xdr:rowOff>77995</xdr:rowOff>
    </xdr:to>
    <xdr:sp macro="" textlink="">
      <xdr:nvSpPr>
        <xdr:cNvPr id="75" name="타원 74">
          <a:extLst>
            <a:ext uri="{FF2B5EF4-FFF2-40B4-BE49-F238E27FC236}">
              <a16:creationId xmlns:a16="http://schemas.microsoft.com/office/drawing/2014/main" id="{04E23048-7B92-5C6C-5717-A6842D7C4AD9}"/>
            </a:ext>
          </a:extLst>
        </xdr:cNvPr>
        <xdr:cNvSpPr/>
      </xdr:nvSpPr>
      <xdr:spPr bwMode="auto">
        <a:xfrm>
          <a:off x="10151233" y="5322348"/>
          <a:ext cx="76040" cy="89647"/>
        </a:xfrm>
        <a:prstGeom prst="ellipse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16</xdr:col>
      <xdr:colOff>178655</xdr:colOff>
      <xdr:row>27</xdr:row>
      <xdr:rowOff>24976</xdr:rowOff>
    </xdr:from>
    <xdr:ext cx="280205" cy="311496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4637C4F-5DC8-4374-B4D3-45379D4F5E19}"/>
            </a:ext>
          </a:extLst>
        </xdr:cNvPr>
        <xdr:cNvSpPr txBox="1"/>
      </xdr:nvSpPr>
      <xdr:spPr>
        <a:xfrm>
          <a:off x="10275155" y="4406476"/>
          <a:ext cx="28020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/>
            <a:t>P</a:t>
          </a:r>
          <a:endParaRPr lang="ko-KR" altLang="en-US" sz="1400" b="1"/>
        </a:p>
      </xdr:txBody>
    </xdr:sp>
    <xdr:clientData/>
  </xdr:oneCellAnchor>
  <xdr:twoCellAnchor>
    <xdr:from>
      <xdr:col>15</xdr:col>
      <xdr:colOff>286770</xdr:colOff>
      <xdr:row>23</xdr:row>
      <xdr:rowOff>185201</xdr:rowOff>
    </xdr:from>
    <xdr:to>
      <xdr:col>16</xdr:col>
      <xdr:colOff>732268</xdr:colOff>
      <xdr:row>25</xdr:row>
      <xdr:rowOff>151583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3BBE105A-F4C2-C065-8269-A42172254356}"/>
            </a:ext>
          </a:extLst>
        </xdr:cNvPr>
        <xdr:cNvGrpSpPr/>
      </xdr:nvGrpSpPr>
      <xdr:grpSpPr>
        <a:xfrm>
          <a:off x="9587652" y="4566701"/>
          <a:ext cx="1196292" cy="347382"/>
          <a:chOff x="9587652" y="4566701"/>
          <a:chExt cx="1196292" cy="347382"/>
        </a:xfrm>
      </xdr:grpSpPr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B1870D1A-EDF3-1CFB-2CC6-2957BBE62915}"/>
              </a:ext>
            </a:extLst>
          </xdr:cNvPr>
          <xdr:cNvCxnSpPr/>
        </xdr:nvCxnSpPr>
        <xdr:spPr bwMode="auto">
          <a:xfrm>
            <a:off x="9614830" y="4566701"/>
            <a:ext cx="0" cy="347382"/>
          </a:xfrm>
          <a:prstGeom prst="lin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63500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5026E3BE-4735-4846-FF5C-6B505418DE11}"/>
              </a:ext>
            </a:extLst>
          </xdr:cNvPr>
          <xdr:cNvCxnSpPr/>
        </xdr:nvCxnSpPr>
        <xdr:spPr bwMode="auto">
          <a:xfrm>
            <a:off x="9587652" y="4749176"/>
            <a:ext cx="397016" cy="0"/>
          </a:xfrm>
          <a:prstGeom prst="lin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63500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581D8C73-6F31-7914-48DE-D13691D22BDF}"/>
              </a:ext>
            </a:extLst>
          </xdr:cNvPr>
          <xdr:cNvCxnSpPr/>
        </xdr:nvCxnSpPr>
        <xdr:spPr bwMode="auto">
          <a:xfrm flipH="1">
            <a:off x="9875369" y="4758443"/>
            <a:ext cx="908575" cy="1167"/>
          </a:xfrm>
          <a:prstGeom prst="lin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127000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DEAB0C9F-BEB3-8116-3C22-9E3B172B9A1B}"/>
              </a:ext>
            </a:extLst>
          </xdr:cNvPr>
          <xdr:cNvCxnSpPr/>
        </xdr:nvCxnSpPr>
        <xdr:spPr bwMode="auto">
          <a:xfrm>
            <a:off x="9871747" y="4566701"/>
            <a:ext cx="0" cy="347382"/>
          </a:xfrm>
          <a:prstGeom prst="lin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63500" cap="flat" cmpd="sng" algn="ctr">
            <a:solidFill>
              <a:srgbClr val="0070C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742949</xdr:colOff>
      <xdr:row>21</xdr:row>
      <xdr:rowOff>104775</xdr:rowOff>
    </xdr:from>
    <xdr:to>
      <xdr:col>30</xdr:col>
      <xdr:colOff>414337</xdr:colOff>
      <xdr:row>38</xdr:row>
      <xdr:rowOff>79478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FABA253-96AC-C424-9EA9-804EBD961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16324" y="4105275"/>
          <a:ext cx="3471863" cy="32132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90AE-DD5B-488C-82ED-E74D4BB75E78}">
  <dimension ref="B1:E8"/>
  <sheetViews>
    <sheetView workbookViewId="0">
      <selection activeCell="B8" sqref="B8"/>
    </sheetView>
  </sheetViews>
  <sheetFormatPr defaultRowHeight="35.1" customHeight="1" x14ac:dyDescent="0.15"/>
  <cols>
    <col min="1" max="1" width="5" style="171" customWidth="1"/>
    <col min="2" max="2" width="8.88671875" style="174"/>
    <col min="3" max="3" width="90.77734375" style="171" customWidth="1"/>
    <col min="4" max="5" width="15.77734375" style="171" customWidth="1"/>
    <col min="6" max="16384" width="8.88671875" style="171"/>
  </cols>
  <sheetData>
    <row r="1" spans="2:5" ht="35.1" customHeight="1" x14ac:dyDescent="0.15">
      <c r="B1" s="231" t="s">
        <v>202</v>
      </c>
      <c r="C1" s="231"/>
      <c r="D1" s="231"/>
      <c r="E1" s="231"/>
    </row>
    <row r="2" spans="2:5" ht="35.1" customHeight="1" x14ac:dyDescent="0.15">
      <c r="E2" s="171" t="s">
        <v>203</v>
      </c>
    </row>
    <row r="3" spans="2:5" ht="35.1" customHeight="1" x14ac:dyDescent="0.15">
      <c r="B3" s="173"/>
      <c r="C3" s="170" t="s">
        <v>184</v>
      </c>
      <c r="D3" s="170" t="s">
        <v>185</v>
      </c>
      <c r="E3" s="170" t="s">
        <v>200</v>
      </c>
    </row>
    <row r="4" spans="2:5" ht="35.1" customHeight="1" x14ac:dyDescent="0.15">
      <c r="B4" s="173">
        <v>0</v>
      </c>
      <c r="C4" s="172" t="s">
        <v>189</v>
      </c>
      <c r="D4" s="170" t="s">
        <v>187</v>
      </c>
      <c r="E4" s="170" t="s">
        <v>201</v>
      </c>
    </row>
    <row r="5" spans="2:5" ht="35.1" customHeight="1" x14ac:dyDescent="0.15">
      <c r="B5" s="173">
        <v>1</v>
      </c>
      <c r="C5" s="172" t="s">
        <v>188</v>
      </c>
      <c r="D5" s="170" t="s">
        <v>186</v>
      </c>
      <c r="E5" s="170" t="s">
        <v>201</v>
      </c>
    </row>
    <row r="6" spans="2:5" ht="35.1" customHeight="1" x14ac:dyDescent="0.15">
      <c r="B6" s="173">
        <v>2</v>
      </c>
      <c r="C6" s="172" t="s">
        <v>198</v>
      </c>
      <c r="D6" s="170" t="s">
        <v>199</v>
      </c>
      <c r="E6" s="170" t="s">
        <v>201</v>
      </c>
    </row>
    <row r="7" spans="2:5" ht="35.1" customHeight="1" x14ac:dyDescent="0.15">
      <c r="B7" s="173">
        <v>3</v>
      </c>
      <c r="C7" s="172" t="s">
        <v>209</v>
      </c>
      <c r="D7" s="170" t="s">
        <v>210</v>
      </c>
      <c r="E7" s="170" t="s">
        <v>201</v>
      </c>
    </row>
    <row r="8" spans="2:5" ht="35.1" customHeight="1" x14ac:dyDescent="0.15">
      <c r="B8" s="173">
        <v>4</v>
      </c>
      <c r="C8" s="172" t="s">
        <v>263</v>
      </c>
      <c r="D8" s="170" t="s">
        <v>264</v>
      </c>
      <c r="E8" s="170" t="s">
        <v>201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DA804-AAB9-48D2-82FD-6F333FB0168C}">
  <sheetPr>
    <tabColor rgb="FFFF0000"/>
  </sheetPr>
  <dimension ref="A1:AB103"/>
  <sheetViews>
    <sheetView showGridLines="0" tabSelected="1" zoomScale="85" zoomScaleNormal="85" workbookViewId="0">
      <selection activeCell="B3" sqref="B3"/>
    </sheetView>
  </sheetViews>
  <sheetFormatPr defaultColWidth="8.77734375" defaultRowHeight="15" customHeight="1" x14ac:dyDescent="0.2"/>
  <cols>
    <col min="1" max="1" width="2.77734375" style="24" customWidth="1"/>
    <col min="2" max="3" width="8.77734375" style="24"/>
    <col min="4" max="5" width="4.77734375" style="24" customWidth="1"/>
    <col min="6" max="8" width="5.77734375" style="24" customWidth="1"/>
    <col min="9" max="18" width="8.77734375" style="24"/>
    <col min="19" max="22" width="8.77734375" style="24" customWidth="1"/>
    <col min="23" max="16384" width="8.77734375" style="24"/>
  </cols>
  <sheetData>
    <row r="1" spans="1:27" s="11" customFormat="1" ht="15" customHeight="1" x14ac:dyDescent="0.15">
      <c r="A1" s="230" t="s">
        <v>160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</row>
    <row r="2" spans="1:27" s="11" customFormat="1" ht="15" customHeight="1" x14ac:dyDescent="0.15">
      <c r="A2" s="230"/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</row>
    <row r="3" spans="1:27" s="11" customFormat="1" ht="15" customHeight="1" x14ac:dyDescent="0.15">
      <c r="A3" s="115"/>
      <c r="B3" s="143" t="s">
        <v>177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</row>
    <row r="4" spans="1:27" s="11" customFormat="1" ht="15" customHeight="1" x14ac:dyDescent="0.15">
      <c r="A4" s="115"/>
      <c r="B4" s="143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</row>
    <row r="5" spans="1:27" s="11" customFormat="1" ht="15" customHeight="1" x14ac:dyDescent="0.15">
      <c r="B5" s="3" t="s">
        <v>101</v>
      </c>
      <c r="C5" s="117" t="s">
        <v>102</v>
      </c>
      <c r="D5" s="3"/>
      <c r="E5" s="3"/>
      <c r="H5" s="8"/>
      <c r="I5" s="8"/>
      <c r="L5" s="98" t="s">
        <v>150</v>
      </c>
      <c r="W5" s="138"/>
      <c r="X5" s="138"/>
      <c r="Y5" s="138"/>
      <c r="Z5" s="138"/>
      <c r="AA5" s="138"/>
    </row>
    <row r="6" spans="1:27" s="11" customFormat="1" ht="15" customHeight="1" x14ac:dyDescent="0.15">
      <c r="B6" s="3" t="s">
        <v>103</v>
      </c>
      <c r="C6" s="94">
        <v>275</v>
      </c>
      <c r="D6" s="8" t="s">
        <v>104</v>
      </c>
      <c r="E6" s="3" t="s">
        <v>105</v>
      </c>
      <c r="G6" s="228" t="s">
        <v>152</v>
      </c>
      <c r="H6" s="228"/>
      <c r="I6" s="228"/>
      <c r="J6" s="144">
        <v>0.3</v>
      </c>
      <c r="L6" s="98" t="s">
        <v>151</v>
      </c>
      <c r="W6" s="139"/>
      <c r="X6" s="140"/>
      <c r="Y6" s="138"/>
      <c r="Z6" s="138"/>
      <c r="AA6" s="138"/>
    </row>
    <row r="7" spans="1:27" s="11" customFormat="1" ht="15" customHeight="1" x14ac:dyDescent="0.15">
      <c r="B7" s="3" t="s">
        <v>106</v>
      </c>
      <c r="C7" s="94">
        <v>410</v>
      </c>
      <c r="D7" s="8" t="s">
        <v>104</v>
      </c>
      <c r="E7" s="3" t="s">
        <v>107</v>
      </c>
      <c r="G7" s="229" t="s">
        <v>220</v>
      </c>
      <c r="H7" s="229"/>
      <c r="I7" s="229"/>
      <c r="J7" s="186">
        <v>0.2</v>
      </c>
      <c r="L7" s="98" t="s">
        <v>153</v>
      </c>
      <c r="W7" s="139"/>
      <c r="X7" s="140"/>
      <c r="Y7" s="138"/>
      <c r="Z7" s="138"/>
      <c r="AA7" s="138"/>
    </row>
    <row r="8" spans="1:27" s="11" customFormat="1" ht="15" customHeight="1" x14ac:dyDescent="0.15">
      <c r="B8" s="3" t="s">
        <v>108</v>
      </c>
      <c r="C8" s="94">
        <v>210000</v>
      </c>
      <c r="D8" s="8" t="s">
        <v>104</v>
      </c>
      <c r="E8" s="3" t="s">
        <v>109</v>
      </c>
      <c r="H8" s="8"/>
      <c r="I8" s="8"/>
      <c r="L8" s="98" t="s">
        <v>154</v>
      </c>
      <c r="W8" s="139"/>
      <c r="X8" s="140"/>
      <c r="Y8" s="138"/>
      <c r="Z8" s="138"/>
      <c r="AA8" s="138"/>
    </row>
    <row r="9" spans="1:27" s="11" customFormat="1" ht="15" customHeight="1" x14ac:dyDescent="0.15">
      <c r="B9" s="3" t="s">
        <v>141</v>
      </c>
      <c r="C9" s="94">
        <v>0.3</v>
      </c>
      <c r="D9" s="8" t="s">
        <v>142</v>
      </c>
      <c r="E9" s="3"/>
      <c r="H9" s="8"/>
      <c r="I9" s="8"/>
      <c r="L9" s="98" t="s">
        <v>176</v>
      </c>
      <c r="W9" s="139"/>
      <c r="X9" s="140"/>
      <c r="Y9" s="138"/>
      <c r="Z9" s="138"/>
      <c r="AA9" s="138"/>
    </row>
    <row r="10" spans="1:27" s="11" customFormat="1" ht="15" customHeight="1" x14ac:dyDescent="0.15">
      <c r="B10" s="3" t="s">
        <v>143</v>
      </c>
      <c r="C10" s="116">
        <f>C8/(2*(1+$C$9))</f>
        <v>80769.230769230766</v>
      </c>
      <c r="D10" s="8" t="s">
        <v>144</v>
      </c>
      <c r="E10" s="3"/>
      <c r="H10" s="8"/>
      <c r="I10" s="8"/>
      <c r="L10" s="215" t="s">
        <v>261</v>
      </c>
      <c r="M10" s="216"/>
      <c r="N10" s="216"/>
      <c r="O10" s="216"/>
      <c r="P10" s="216"/>
      <c r="Q10" s="216"/>
      <c r="R10" s="216"/>
      <c r="S10" s="216"/>
      <c r="W10" s="139"/>
      <c r="X10" s="140"/>
      <c r="Y10" s="138"/>
      <c r="Z10" s="138"/>
      <c r="AA10" s="138"/>
    </row>
    <row r="11" spans="1:27" s="11" customFormat="1" ht="15" customHeight="1" x14ac:dyDescent="0.15">
      <c r="B11" s="3" t="s">
        <v>110</v>
      </c>
      <c r="C11" s="94">
        <v>2</v>
      </c>
      <c r="D11" s="3" t="s">
        <v>180</v>
      </c>
      <c r="L11" s="120" t="s">
        <v>226</v>
      </c>
      <c r="W11" s="139"/>
      <c r="X11" s="138"/>
      <c r="Y11" s="138"/>
      <c r="Z11" s="138"/>
      <c r="AA11" s="138"/>
    </row>
    <row r="12" spans="1:27" s="11" customFormat="1" ht="15" customHeight="1" x14ac:dyDescent="0.15">
      <c r="B12" s="3"/>
      <c r="C12" s="94"/>
      <c r="D12" s="8"/>
      <c r="E12" s="3"/>
      <c r="L12" s="120" t="s">
        <v>227</v>
      </c>
      <c r="W12" s="138"/>
      <c r="X12" s="138"/>
      <c r="Y12" s="138"/>
      <c r="Z12" s="138"/>
      <c r="AA12" s="138"/>
    </row>
    <row r="13" spans="1:27" s="11" customFormat="1" ht="15" customHeight="1" x14ac:dyDescent="0.15">
      <c r="B13" s="3"/>
      <c r="C13" s="94"/>
      <c r="D13" s="8"/>
      <c r="E13" s="3"/>
      <c r="L13" s="98" t="s">
        <v>221</v>
      </c>
      <c r="W13" s="141"/>
      <c r="X13" s="140"/>
      <c r="Y13" s="138"/>
      <c r="Z13" s="138"/>
      <c r="AA13" s="138"/>
    </row>
    <row r="14" spans="1:27" s="11" customFormat="1" ht="15" customHeight="1" x14ac:dyDescent="0.15">
      <c r="B14" s="3"/>
      <c r="C14" s="9"/>
      <c r="D14" s="8"/>
      <c r="E14" s="3"/>
      <c r="L14" s="215" t="s">
        <v>219</v>
      </c>
      <c r="M14" s="216"/>
      <c r="N14" s="216"/>
      <c r="O14" s="216"/>
      <c r="P14" s="216"/>
      <c r="Q14" s="216"/>
      <c r="R14" s="216"/>
      <c r="S14" s="216"/>
      <c r="W14" s="141"/>
      <c r="X14" s="140"/>
      <c r="Y14" s="138"/>
      <c r="Z14" s="138"/>
      <c r="AA14" s="138"/>
    </row>
    <row r="15" spans="1:27" s="11" customFormat="1" ht="15" customHeight="1" x14ac:dyDescent="0.15">
      <c r="B15" s="3"/>
      <c r="C15" s="9"/>
      <c r="D15" s="8"/>
      <c r="E15" s="3"/>
      <c r="W15" s="138"/>
      <c r="X15" s="138"/>
      <c r="Y15" s="138"/>
      <c r="Z15" s="138"/>
      <c r="AA15" s="138"/>
    </row>
    <row r="16" spans="1:27" s="11" customFormat="1" ht="15" customHeight="1" x14ac:dyDescent="0.15">
      <c r="B16" s="3"/>
      <c r="C16" s="9"/>
      <c r="D16" s="8"/>
      <c r="E16" s="3"/>
      <c r="W16" s="138"/>
      <c r="X16" s="138"/>
      <c r="Y16" s="138"/>
      <c r="Z16" s="138"/>
      <c r="AA16" s="138"/>
    </row>
    <row r="17" spans="2:28" s="11" customFormat="1" ht="15" customHeight="1" x14ac:dyDescent="0.15">
      <c r="B17" s="3"/>
      <c r="C17" s="9"/>
      <c r="D17" s="8"/>
      <c r="E17" s="3"/>
      <c r="W17" s="142"/>
      <c r="X17" s="140"/>
      <c r="Y17" s="138"/>
      <c r="Z17" s="138"/>
      <c r="AA17" s="138"/>
    </row>
    <row r="18" spans="2:28" s="11" customFormat="1" ht="15" customHeight="1" x14ac:dyDescent="0.15">
      <c r="B18" s="3"/>
      <c r="C18" s="9"/>
      <c r="D18" s="8"/>
      <c r="E18" s="3"/>
      <c r="W18" s="142"/>
      <c r="X18" s="140"/>
      <c r="Y18" s="138"/>
      <c r="Z18" s="138"/>
      <c r="AA18" s="138"/>
    </row>
    <row r="19" spans="2:28" s="11" customFormat="1" ht="15" customHeight="1" x14ac:dyDescent="0.15">
      <c r="B19" s="3"/>
      <c r="C19" s="9"/>
      <c r="D19" s="8"/>
      <c r="E19" s="3"/>
      <c r="W19" s="142"/>
      <c r="X19" s="138"/>
      <c r="Y19" s="138"/>
      <c r="Z19" s="138"/>
      <c r="AA19" s="138"/>
    </row>
    <row r="20" spans="2:28" s="11" customFormat="1" ht="15" customHeight="1" x14ac:dyDescent="0.15">
      <c r="B20" s="3"/>
      <c r="C20" s="9"/>
      <c r="D20" s="8"/>
      <c r="E20" s="3"/>
      <c r="W20" s="138"/>
      <c r="X20" s="138"/>
      <c r="Y20" s="138"/>
      <c r="Z20" s="138"/>
      <c r="AA20" s="138"/>
    </row>
    <row r="21" spans="2:28" s="11" customFormat="1" ht="15" customHeight="1" x14ac:dyDescent="0.15">
      <c r="B21" s="3"/>
      <c r="C21" s="9"/>
      <c r="D21" s="8"/>
      <c r="E21" s="3"/>
      <c r="W21" s="138"/>
      <c r="X21" s="138"/>
      <c r="Y21" s="138"/>
      <c r="Z21" s="138"/>
      <c r="AA21" s="138"/>
    </row>
    <row r="22" spans="2:28" s="11" customFormat="1" ht="15" customHeight="1" x14ac:dyDescent="0.15">
      <c r="B22" s="3"/>
      <c r="C22" s="9"/>
      <c r="D22" s="8"/>
      <c r="E22" s="3"/>
      <c r="W22" s="142"/>
      <c r="X22" s="140"/>
      <c r="Y22" s="138"/>
      <c r="Z22" s="138"/>
      <c r="AA22" s="138"/>
    </row>
    <row r="23" spans="2:28" s="11" customFormat="1" ht="15" customHeight="1" x14ac:dyDescent="0.15">
      <c r="B23" s="3"/>
      <c r="C23" s="9"/>
      <c r="D23" s="8"/>
      <c r="E23" s="3"/>
      <c r="W23" s="139"/>
      <c r="X23" s="140"/>
      <c r="Y23" s="138"/>
      <c r="Z23" s="138"/>
      <c r="AA23" s="138"/>
    </row>
    <row r="24" spans="2:28" s="11" customFormat="1" ht="15" customHeight="1" x14ac:dyDescent="0.15">
      <c r="B24" s="3"/>
      <c r="C24" s="9"/>
      <c r="D24" s="8"/>
      <c r="E24" s="3"/>
      <c r="W24" s="142"/>
      <c r="X24" s="140"/>
      <c r="Y24" s="138"/>
      <c r="Z24" s="142"/>
      <c r="AA24" s="138"/>
    </row>
    <row r="25" spans="2:28" s="11" customFormat="1" ht="15" customHeight="1" x14ac:dyDescent="0.15">
      <c r="B25" s="3"/>
      <c r="C25" s="9"/>
      <c r="D25" s="8"/>
      <c r="E25" s="3"/>
      <c r="W25" s="142"/>
      <c r="X25" s="138"/>
      <c r="Y25" s="138"/>
      <c r="Z25" s="138"/>
      <c r="AA25" s="138"/>
    </row>
    <row r="26" spans="2:28" s="11" customFormat="1" ht="15" customHeight="1" x14ac:dyDescent="0.15">
      <c r="B26" s="3"/>
      <c r="C26" s="9"/>
      <c r="D26" s="8"/>
      <c r="E26" s="3"/>
    </row>
    <row r="27" spans="2:28" s="11" customFormat="1" ht="15" customHeight="1" x14ac:dyDescent="0.15">
      <c r="B27" s="3"/>
      <c r="C27" s="9"/>
      <c r="D27" s="8"/>
      <c r="E27" s="3"/>
    </row>
    <row r="28" spans="2:28" s="11" customFormat="1" ht="15" customHeight="1" x14ac:dyDescent="0.15">
      <c r="B28" s="3"/>
      <c r="C28" s="9"/>
      <c r="D28" s="8"/>
      <c r="E28" s="3"/>
      <c r="Z28" s="101"/>
      <c r="AA28" s="98"/>
    </row>
    <row r="29" spans="2:28" s="11" customFormat="1" ht="15" customHeight="1" x14ac:dyDescent="0.15">
      <c r="B29" s="3"/>
      <c r="C29" s="9"/>
      <c r="D29" s="8"/>
      <c r="E29" s="3"/>
    </row>
    <row r="30" spans="2:28" s="11" customFormat="1" ht="15" customHeight="1" x14ac:dyDescent="0.15">
      <c r="B30" s="3"/>
      <c r="C30" s="9"/>
      <c r="D30" s="8"/>
      <c r="E30" s="3"/>
    </row>
    <row r="31" spans="2:28" s="11" customFormat="1" ht="15" customHeight="1" x14ac:dyDescent="0.15">
      <c r="B31" s="3"/>
      <c r="C31" s="9"/>
      <c r="D31" s="8"/>
      <c r="E31" s="3"/>
    </row>
    <row r="32" spans="2:28" s="11" customFormat="1" ht="15" customHeight="1" x14ac:dyDescent="0.15">
      <c r="B32" s="3"/>
      <c r="C32" s="9"/>
      <c r="D32" s="8"/>
      <c r="E32" s="3"/>
      <c r="AB32" s="101"/>
    </row>
    <row r="33" spans="2:25" s="11" customFormat="1" ht="15" customHeight="1" x14ac:dyDescent="0.15">
      <c r="B33" s="3"/>
      <c r="C33" s="9"/>
      <c r="D33" s="8"/>
      <c r="E33" s="3"/>
    </row>
    <row r="34" spans="2:25" s="11" customFormat="1" ht="15" customHeight="1" x14ac:dyDescent="0.15">
      <c r="B34" s="3"/>
      <c r="C34" s="9"/>
      <c r="D34" s="8"/>
      <c r="E34" s="3"/>
    </row>
    <row r="35" spans="2:25" s="11" customFormat="1" ht="15" customHeight="1" x14ac:dyDescent="0.15">
      <c r="C35" s="115" t="s">
        <v>146</v>
      </c>
      <c r="D35" s="8"/>
      <c r="E35" s="3"/>
      <c r="I35" s="115" t="s">
        <v>178</v>
      </c>
      <c r="M35" s="100"/>
      <c r="O35" s="115" t="s">
        <v>179</v>
      </c>
      <c r="R35" s="100"/>
    </row>
    <row r="36" spans="2:25" s="11" customFormat="1" ht="15" customHeight="1" x14ac:dyDescent="0.15">
      <c r="B36" s="3"/>
      <c r="C36" s="9"/>
      <c r="D36" s="8"/>
      <c r="E36" s="3"/>
    </row>
    <row r="37" spans="2:25" s="11" customFormat="1" ht="15" customHeight="1" x14ac:dyDescent="0.15">
      <c r="C37" s="9"/>
      <c r="D37" s="8"/>
      <c r="E37" s="3"/>
      <c r="R37" s="93"/>
    </row>
    <row r="38" spans="2:25" s="11" customFormat="1" ht="15" customHeight="1" thickBot="1" x14ac:dyDescent="0.2">
      <c r="B38" s="3" t="s">
        <v>183</v>
      </c>
      <c r="C38" s="9"/>
      <c r="D38" s="8"/>
      <c r="E38" s="3"/>
      <c r="R38" s="93"/>
    </row>
    <row r="39" spans="2:25" s="11" customFormat="1" ht="20.100000000000001" customHeight="1" thickBot="1" x14ac:dyDescent="0.2">
      <c r="B39" s="182" t="s">
        <v>213</v>
      </c>
      <c r="C39" s="9"/>
      <c r="D39" s="8"/>
      <c r="E39" s="3"/>
      <c r="R39" s="93"/>
    </row>
    <row r="40" spans="2:25" s="11" customFormat="1" ht="15" customHeight="1" x14ac:dyDescent="0.15">
      <c r="B40" s="226" t="s">
        <v>16</v>
      </c>
      <c r="C40" s="222" t="s">
        <v>114</v>
      </c>
      <c r="D40" s="222" t="s">
        <v>17</v>
      </c>
      <c r="E40" s="222"/>
      <c r="F40" s="222" t="s">
        <v>139</v>
      </c>
      <c r="G40" s="222" t="s">
        <v>140</v>
      </c>
      <c r="H40" s="222" t="s">
        <v>115</v>
      </c>
      <c r="I40" s="222" t="s">
        <v>116</v>
      </c>
      <c r="J40" s="222" t="s">
        <v>117</v>
      </c>
      <c r="K40" s="222" t="s">
        <v>118</v>
      </c>
      <c r="L40" s="222" t="s">
        <v>120</v>
      </c>
      <c r="M40" s="222" t="s">
        <v>121</v>
      </c>
      <c r="N40" s="222" t="s">
        <v>127</v>
      </c>
      <c r="O40" s="222" t="s">
        <v>128</v>
      </c>
      <c r="P40" s="222" t="s">
        <v>129</v>
      </c>
      <c r="Q40" s="222" t="s">
        <v>130</v>
      </c>
      <c r="R40" s="222" t="s">
        <v>119</v>
      </c>
      <c r="S40" s="224" t="s">
        <v>147</v>
      </c>
      <c r="T40" s="224"/>
      <c r="U40" s="224" t="s">
        <v>149</v>
      </c>
      <c r="V40" s="225"/>
      <c r="W40" s="222" t="s">
        <v>156</v>
      </c>
      <c r="X40" s="222" t="s">
        <v>155</v>
      </c>
      <c r="Y40" s="220" t="s">
        <v>148</v>
      </c>
    </row>
    <row r="41" spans="2:25" s="11" customFormat="1" ht="50.1" customHeight="1" x14ac:dyDescent="0.15">
      <c r="B41" s="227"/>
      <c r="C41" s="223"/>
      <c r="D41" s="223"/>
      <c r="E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3"/>
      <c r="R41" s="223"/>
      <c r="S41" s="118" t="s">
        <v>157</v>
      </c>
      <c r="T41" s="118" t="s">
        <v>262</v>
      </c>
      <c r="U41" s="118" t="s">
        <v>158</v>
      </c>
      <c r="V41" s="119" t="s">
        <v>159</v>
      </c>
      <c r="W41" s="223"/>
      <c r="X41" s="223"/>
      <c r="Y41" s="221"/>
    </row>
    <row r="42" spans="2:25" s="14" customFormat="1" ht="15" customHeight="1" x14ac:dyDescent="0.25">
      <c r="B42" s="103">
        <v>1</v>
      </c>
      <c r="C42" s="104">
        <v>3000</v>
      </c>
      <c r="D42" s="105" t="s">
        <v>53</v>
      </c>
      <c r="E42" s="106">
        <v>200</v>
      </c>
      <c r="F42" s="107">
        <v>600</v>
      </c>
      <c r="G42" s="104">
        <v>300</v>
      </c>
      <c r="H42" s="108">
        <v>2250</v>
      </c>
      <c r="I42" s="109">
        <f t="shared" ref="I42:I49" si="0">H42*9.80665</f>
        <v>22064.962499999998</v>
      </c>
      <c r="J42" s="109">
        <f t="shared" ref="J42:J49" si="1">H42*$J$6</f>
        <v>675</v>
      </c>
      <c r="K42" s="109">
        <f t="shared" ref="K42:K49" si="2">J42*9.80665</f>
        <v>6619.4887499999995</v>
      </c>
      <c r="L42" s="109">
        <f t="shared" ref="L42:L49" si="3">H42*$J$7</f>
        <v>450</v>
      </c>
      <c r="M42" s="109">
        <f t="shared" ref="M42:M49" si="4">L42*9.80665</f>
        <v>4412.9924999999994</v>
      </c>
      <c r="N42" s="109">
        <f t="shared" ref="N42:N49" si="5">I42*G42</f>
        <v>6619488.7499999991</v>
      </c>
      <c r="O42" s="109">
        <f t="shared" ref="O42:O49" si="6">K42*C42</f>
        <v>19858466.25</v>
      </c>
      <c r="P42" s="109">
        <f t="shared" ref="P42:P49" si="7">N42+O42</f>
        <v>26477955</v>
      </c>
      <c r="Q42" s="109">
        <f t="shared" ref="Q42:Q49" si="8">M42*C42</f>
        <v>13238977.499999998</v>
      </c>
      <c r="R42" s="187"/>
      <c r="S42" s="158">
        <f>(I42*G42^3/(3*$C$8*INDEX(profile_H!$J$6:$J$17, MATCH(E42, profile_H!$C$6:$C$17, 0)))) + (I42*C42/($C$8* INDEX(profile_H!$H$6:$H$17, MATCH(E42, profile_H!$C$6:$C$17, 0))))  + (SIN(N42*C42/($C$8*INDEX(profile_H!$J$6:$J$17, MATCH(E42, profile_H!$C$6:$C$17, 0))))*G42)  + (SIN(K42*C42^2/(2*$C$8*INDEX(profile_H!$J$6:$J$17, MATCH(E42, profile_H!$C$6:$C$17, 0))))*G42)</f>
        <v>1.5722574512895129</v>
      </c>
      <c r="T42" s="158">
        <f>(N42*C42^2/(2*$C$8*INDEX(profile_H!$J$6:$J$17, MATCH(E42, profile_H!$C$6:$C$17, 0))))+ (K42*C42^3/(3*$C$8*INDEX(profile_H!$J$6:$J$17, MATCH(E42, profile_H!$C$6:$C$17, 0))))</f>
        <v>9.0156475105932206</v>
      </c>
      <c r="U42" s="185"/>
      <c r="V42" s="131">
        <f>M42*C42^3/(3*$C$8*INDEX(profile_H!$M$6:$M$17, MATCH(E42, profile_H!$C$6:$C$17, 0)))</f>
        <v>11.820515624999999</v>
      </c>
      <c r="W42" s="121">
        <v>1.5874999999999999</v>
      </c>
      <c r="X42" s="184">
        <f t="shared" ref="X42:X48" si="9">C42/200</f>
        <v>15</v>
      </c>
      <c r="Y42" s="190" t="str">
        <f t="shared" ref="Y42:Y48" si="10">IF(S42&lt;=W42, IF(MAX(T42,V42)&lt;=X42,"O.K","N.G"),"NG")</f>
        <v>O.K</v>
      </c>
    </row>
    <row r="43" spans="2:25" s="14" customFormat="1" ht="15" customHeight="1" x14ac:dyDescent="0.25">
      <c r="B43" s="103">
        <v>2</v>
      </c>
      <c r="C43" s="104">
        <v>3000</v>
      </c>
      <c r="D43" s="105" t="s">
        <v>53</v>
      </c>
      <c r="E43" s="106">
        <v>150</v>
      </c>
      <c r="F43" s="107">
        <v>600</v>
      </c>
      <c r="G43" s="104">
        <v>300</v>
      </c>
      <c r="H43" s="108">
        <v>800</v>
      </c>
      <c r="I43" s="109">
        <f t="shared" ref="I43:I46" si="11">H43*9.80665</f>
        <v>7845.32</v>
      </c>
      <c r="J43" s="109">
        <f t="shared" ref="J43:J46" si="12">H43*$J$6</f>
        <v>240</v>
      </c>
      <c r="K43" s="109">
        <f t="shared" ref="K43:K46" si="13">J43*9.80665</f>
        <v>2353.596</v>
      </c>
      <c r="L43" s="109">
        <f t="shared" ref="L43:L46" si="14">H43*$J$7</f>
        <v>160</v>
      </c>
      <c r="M43" s="109">
        <f t="shared" ref="M43:M46" si="15">L43*9.80665</f>
        <v>1569.0639999999999</v>
      </c>
      <c r="N43" s="109">
        <f t="shared" ref="N43:N46" si="16">I43*G43</f>
        <v>2353596</v>
      </c>
      <c r="O43" s="109">
        <f t="shared" ref="O43:O46" si="17">K43*C43</f>
        <v>7060788</v>
      </c>
      <c r="P43" s="109">
        <f t="shared" ref="P43:P46" si="18">N43+O43</f>
        <v>9414384</v>
      </c>
      <c r="Q43" s="109">
        <f t="shared" ref="Q43:Q46" si="19">M43*C43</f>
        <v>4707192</v>
      </c>
      <c r="R43" s="187"/>
      <c r="S43" s="158">
        <f>(I43*G43^3/(3*$C$8*INDEX(profile_H!$J$6:$J$17, MATCH(E43, profile_H!$C$6:$C$17, 0)))) + (I43*C43/($C$8* INDEX(profile_H!$H$6:$H$17, MATCH(E43, profile_H!$C$6:$C$17, 0))))  + (SIN(N43*C43/($C$8*INDEX(profile_H!$J$6:$J$17, MATCH(E43, profile_H!$C$6:$C$17, 0))))*G43)  + (SIN(K43*C43^2/(2*$C$8*INDEX(profile_H!$J$6:$J$17, MATCH(E43, profile_H!$C$6:$C$17, 0))))*G43)</f>
        <v>1.5860491466044722</v>
      </c>
      <c r="T43" s="158">
        <f>(N43*C43^2/(2*$C$8*INDEX(profile_H!$J$6:$J$17, MATCH(E43, profile_H!$C$6:$C$17, 0))))+ (K43*C43^3/(3*$C$8*INDEX(profile_H!$J$6:$J$17, MATCH(E43, profile_H!$C$6:$C$17, 0))))</f>
        <v>9.2257682926829272</v>
      </c>
      <c r="U43" s="185"/>
      <c r="V43" s="131">
        <f>M43*C43^3/(3*$C$8*INDEX(profile_H!$M$6:$M$17, MATCH(E43, profile_H!$C$6:$C$17, 0)))</f>
        <v>11.944156305506214</v>
      </c>
      <c r="W43" s="121">
        <v>1.5874999999999999</v>
      </c>
      <c r="X43" s="184">
        <f t="shared" si="9"/>
        <v>15</v>
      </c>
      <c r="Y43" s="190" t="str">
        <f t="shared" si="10"/>
        <v>O.K</v>
      </c>
    </row>
    <row r="44" spans="2:25" s="14" customFormat="1" ht="15" customHeight="1" x14ac:dyDescent="0.25">
      <c r="B44" s="103">
        <v>3</v>
      </c>
      <c r="C44" s="104">
        <v>3000</v>
      </c>
      <c r="D44" s="105" t="s">
        <v>53</v>
      </c>
      <c r="E44" s="106">
        <v>125</v>
      </c>
      <c r="F44" s="107">
        <v>600</v>
      </c>
      <c r="G44" s="104">
        <v>300</v>
      </c>
      <c r="H44" s="108">
        <v>400</v>
      </c>
      <c r="I44" s="109">
        <f t="shared" ref="I44" si="20">H44*9.80665</f>
        <v>3922.66</v>
      </c>
      <c r="J44" s="109">
        <f t="shared" ref="J44" si="21">H44*$J$6</f>
        <v>120</v>
      </c>
      <c r="K44" s="109">
        <f t="shared" ref="K44" si="22">J44*9.80665</f>
        <v>1176.798</v>
      </c>
      <c r="L44" s="109">
        <f t="shared" ref="L44" si="23">H44*$J$7</f>
        <v>80</v>
      </c>
      <c r="M44" s="109">
        <f t="shared" ref="M44" si="24">L44*9.80665</f>
        <v>784.53199999999993</v>
      </c>
      <c r="N44" s="109">
        <f t="shared" ref="N44" si="25">I44*G44</f>
        <v>1176798</v>
      </c>
      <c r="O44" s="109">
        <f t="shared" ref="O44" si="26">K44*C44</f>
        <v>3530394</v>
      </c>
      <c r="P44" s="109">
        <f t="shared" ref="P44" si="27">N44+O44</f>
        <v>4707192</v>
      </c>
      <c r="Q44" s="109">
        <f t="shared" ref="Q44" si="28">M44*C44</f>
        <v>2353596</v>
      </c>
      <c r="R44" s="187"/>
      <c r="S44" s="158">
        <f>(I44*G44^3/(3*$C$8*INDEX(profile_H!$J$6:$J$17, MATCH(E44, profile_H!$C$6:$C$17, 0)))) + (I44*C44/($C$8* INDEX(profile_H!$H$6:$H$17, MATCH(E44, profile_H!$C$6:$C$17, 0))))  + (SIN(N44*C44/($C$8*INDEX(profile_H!$J$6:$J$17, MATCH(E44, profile_H!$C$6:$C$17, 0))))*G44)  + (SIN(K44*C44^2/(2*$C$8*INDEX(profile_H!$J$6:$J$17, MATCH(E44, profile_H!$C$6:$C$17, 0))))*G44)</f>
        <v>1.5269474981453524</v>
      </c>
      <c r="T44" s="158">
        <f>(N44*C44^2/(2*$C$8*INDEX(profile_H!$J$6:$J$17, MATCH(E44, profile_H!$C$6:$C$17, 0))))+ (K44*C44^3/(3*$C$8*INDEX(profile_H!$J$6:$J$17, MATCH(E44, profile_H!$C$6:$C$17, 0))))</f>
        <v>8.9316765053128684</v>
      </c>
      <c r="U44" s="185"/>
      <c r="V44" s="131">
        <f>M44*C44^3/(3*$C$8*INDEX(profile_H!$M$6:$M$17, MATCH(E44, profile_H!$C$6:$C$17, 0)))</f>
        <v>11.475358361774742</v>
      </c>
      <c r="W44" s="121">
        <v>1.5874999999999999</v>
      </c>
      <c r="X44" s="184">
        <f t="shared" si="9"/>
        <v>15</v>
      </c>
      <c r="Y44" s="190" t="str">
        <f t="shared" si="10"/>
        <v>O.K</v>
      </c>
    </row>
    <row r="45" spans="2:25" s="14" customFormat="1" ht="15" customHeight="1" x14ac:dyDescent="0.25">
      <c r="B45" s="103">
        <v>4</v>
      </c>
      <c r="C45" s="104">
        <v>2500</v>
      </c>
      <c r="D45" s="105" t="s">
        <v>53</v>
      </c>
      <c r="E45" s="106">
        <v>200</v>
      </c>
      <c r="F45" s="107">
        <v>600</v>
      </c>
      <c r="G45" s="104">
        <v>300</v>
      </c>
      <c r="H45" s="108">
        <v>3000</v>
      </c>
      <c r="I45" s="109">
        <f t="shared" si="11"/>
        <v>29419.949999999997</v>
      </c>
      <c r="J45" s="109">
        <f t="shared" si="12"/>
        <v>900</v>
      </c>
      <c r="K45" s="109">
        <f t="shared" si="13"/>
        <v>8825.9849999999988</v>
      </c>
      <c r="L45" s="109">
        <f t="shared" si="14"/>
        <v>600</v>
      </c>
      <c r="M45" s="109">
        <f t="shared" si="15"/>
        <v>5883.99</v>
      </c>
      <c r="N45" s="109">
        <f t="shared" si="16"/>
        <v>8825985</v>
      </c>
      <c r="O45" s="109">
        <f t="shared" si="17"/>
        <v>22064962.499999996</v>
      </c>
      <c r="P45" s="109">
        <f t="shared" si="18"/>
        <v>30890947.499999996</v>
      </c>
      <c r="Q45" s="109">
        <f t="shared" si="19"/>
        <v>14709975</v>
      </c>
      <c r="R45" s="187"/>
      <c r="S45" s="158">
        <f>(I45*G45^3/(3*$C$8*INDEX(profile_H!$J$6:$J$17, MATCH(E45, profile_H!$C$6:$C$17, 0)))) + (I45*C45/($C$8* INDEX(profile_H!$H$6:$H$17, MATCH(E45, profile_H!$C$6:$C$17, 0))))  + (SIN(N45*C45/($C$8*INDEX(profile_H!$J$6:$J$17, MATCH(E45, profile_H!$C$6:$C$17, 0))))*G45)  + (SIN(K45*C45^2/(2*$C$8*INDEX(profile_H!$J$6:$J$17, MATCH(E45, profile_H!$C$6:$C$17, 0))))*G45)</f>
        <v>1.5844487856509433</v>
      </c>
      <c r="T45" s="158">
        <f>(N45*C45^2/(2*$C$8*INDEX(profile_H!$J$6:$J$17, MATCH(E45, profile_H!$C$6:$C$17, 0))))+ (K45*C45^3/(3*$C$8*INDEX(profile_H!$J$6:$J$17, MATCH(E45, profile_H!$C$6:$C$17, 0))))</f>
        <v>7.4202860169491522</v>
      </c>
      <c r="U45" s="185"/>
      <c r="V45" s="131">
        <f>M45*C45^3/(3*$C$8*INDEX(profile_H!$M$6:$M$17, MATCH(E45, profile_H!$C$6:$C$17, 0)))</f>
        <v>9.1207682291666661</v>
      </c>
      <c r="W45" s="121">
        <v>1.5874999999999999</v>
      </c>
      <c r="X45" s="184">
        <f t="shared" si="9"/>
        <v>12.5</v>
      </c>
      <c r="Y45" s="190" t="str">
        <f t="shared" si="10"/>
        <v>O.K</v>
      </c>
    </row>
    <row r="46" spans="2:25" s="14" customFormat="1" ht="15" customHeight="1" x14ac:dyDescent="0.25">
      <c r="B46" s="103">
        <v>5</v>
      </c>
      <c r="C46" s="104">
        <v>2500</v>
      </c>
      <c r="D46" s="105" t="s">
        <v>53</v>
      </c>
      <c r="E46" s="106">
        <v>150</v>
      </c>
      <c r="F46" s="107">
        <v>600</v>
      </c>
      <c r="G46" s="104">
        <v>300</v>
      </c>
      <c r="H46" s="108">
        <v>1050</v>
      </c>
      <c r="I46" s="109">
        <f t="shared" si="11"/>
        <v>10296.9825</v>
      </c>
      <c r="J46" s="109">
        <f t="shared" si="12"/>
        <v>315</v>
      </c>
      <c r="K46" s="109">
        <f t="shared" si="13"/>
        <v>3089.0947499999997</v>
      </c>
      <c r="L46" s="109">
        <f t="shared" si="14"/>
        <v>210</v>
      </c>
      <c r="M46" s="109">
        <f t="shared" si="15"/>
        <v>2059.3964999999998</v>
      </c>
      <c r="N46" s="109">
        <f t="shared" si="16"/>
        <v>3089094.75</v>
      </c>
      <c r="O46" s="109">
        <f t="shared" si="17"/>
        <v>7722736.8749999991</v>
      </c>
      <c r="P46" s="109">
        <f t="shared" si="18"/>
        <v>10811831.625</v>
      </c>
      <c r="Q46" s="109">
        <f t="shared" si="19"/>
        <v>5148491.25</v>
      </c>
      <c r="R46" s="187"/>
      <c r="S46" s="158">
        <f>(I46*G46^3/(3*$C$8*INDEX(profile_H!$J$6:$J$17, MATCH(E46, profile_H!$C$6:$C$17, 0)))) + (I46*C46/($C$8* INDEX(profile_H!$H$6:$H$17, MATCH(E46, profile_H!$C$6:$C$17, 0))))  + (SIN(N46*C46/($C$8*INDEX(profile_H!$J$6:$J$17, MATCH(E46, profile_H!$C$6:$C$17, 0))))*G46)  + (SIN(K46*C46^2/(2*$C$8*INDEX(profile_H!$J$6:$J$17, MATCH(E46, profile_H!$C$6:$C$17, 0))))*G46)</f>
        <v>1.5710483316357444</v>
      </c>
      <c r="T46" s="158">
        <f>(N46*C46^2/(2*$C$8*INDEX(profile_H!$J$6:$J$17, MATCH(E46, profile_H!$C$6:$C$17, 0))))+ (K46*C46^3/(3*$C$8*INDEX(profile_H!$J$6:$J$17, MATCH(E46, profile_H!$C$6:$C$17, 0))))</f>
        <v>7.474580792682926</v>
      </c>
      <c r="U46" s="185"/>
      <c r="V46" s="131">
        <f>M46*C46^3/(3*$C$8*INDEX(profile_H!$M$6:$M$17, MATCH(E46, profile_H!$C$6:$C$17, 0)))</f>
        <v>9.072167332741266</v>
      </c>
      <c r="W46" s="121">
        <v>1.5874999999999999</v>
      </c>
      <c r="X46" s="184">
        <f t="shared" si="9"/>
        <v>12.5</v>
      </c>
      <c r="Y46" s="190" t="str">
        <f t="shared" si="10"/>
        <v>O.K</v>
      </c>
    </row>
    <row r="47" spans="2:25" s="14" customFormat="1" ht="15" customHeight="1" x14ac:dyDescent="0.25">
      <c r="B47" s="103">
        <v>6</v>
      </c>
      <c r="C47" s="104">
        <v>2500</v>
      </c>
      <c r="D47" s="105" t="s">
        <v>53</v>
      </c>
      <c r="E47" s="106">
        <v>125</v>
      </c>
      <c r="F47" s="107">
        <v>600</v>
      </c>
      <c r="G47" s="104">
        <v>300</v>
      </c>
      <c r="H47" s="108">
        <v>550</v>
      </c>
      <c r="I47" s="109">
        <f t="shared" ref="I47" si="29">H47*9.80665</f>
        <v>5393.6574999999993</v>
      </c>
      <c r="J47" s="109">
        <f t="shared" ref="J47" si="30">H47*$J$6</f>
        <v>165</v>
      </c>
      <c r="K47" s="109">
        <f t="shared" ref="K47" si="31">J47*9.80665</f>
        <v>1618.0972499999998</v>
      </c>
      <c r="L47" s="109">
        <f t="shared" ref="L47" si="32">H47*$J$7</f>
        <v>110</v>
      </c>
      <c r="M47" s="109">
        <f t="shared" ref="M47" si="33">L47*9.80665</f>
        <v>1078.7314999999999</v>
      </c>
      <c r="N47" s="109">
        <f t="shared" ref="N47" si="34">I47*G47</f>
        <v>1618097.2499999998</v>
      </c>
      <c r="O47" s="109">
        <f t="shared" ref="O47" si="35">K47*C47</f>
        <v>4045243.1249999995</v>
      </c>
      <c r="P47" s="109">
        <f t="shared" ref="P47" si="36">N47+O47</f>
        <v>5663340.3749999991</v>
      </c>
      <c r="Q47" s="109">
        <f t="shared" ref="Q47" si="37">M47*C47</f>
        <v>2696828.7499999995</v>
      </c>
      <c r="R47" s="187"/>
      <c r="S47" s="158">
        <f>(I47*G47^3/(3*$C$8*INDEX(profile_H!$J$6:$J$17, MATCH(E47, profile_H!$C$6:$C$17, 0)))) + (I47*C47/($C$8* INDEX(profile_H!$H$6:$H$17, MATCH(E47, profile_H!$C$6:$C$17, 0))))  + (SIN(N47*C47/($C$8*INDEX(profile_H!$J$6:$J$17, MATCH(E47, profile_H!$C$6:$C$17, 0))))*G47)  + (SIN(K47*C47^2/(2*$C$8*INDEX(profile_H!$J$6:$J$17, MATCH(E47, profile_H!$C$6:$C$17, 0))))*G47)</f>
        <v>1.5836058925221903</v>
      </c>
      <c r="T47" s="158">
        <f>(N47*C47^2/(2*$C$8*INDEX(profile_H!$J$6:$J$17, MATCH(E47, profile_H!$C$6:$C$17, 0))))+ (K47*C47^3/(3*$C$8*INDEX(profile_H!$J$6:$J$17, MATCH(E47, profile_H!$C$6:$C$17, 0))))</f>
        <v>7.5808982683982675</v>
      </c>
      <c r="U47" s="185"/>
      <c r="V47" s="131">
        <f>M47*C47^3/(3*$C$8*INDEX(profile_H!$M$6:$M$17, MATCH(E47, profile_H!$C$6:$C$17, 0)))</f>
        <v>9.131144529768676</v>
      </c>
      <c r="W47" s="121">
        <v>1.5874999999999999</v>
      </c>
      <c r="X47" s="184">
        <f t="shared" si="9"/>
        <v>12.5</v>
      </c>
      <c r="Y47" s="190" t="str">
        <f t="shared" si="10"/>
        <v>O.K</v>
      </c>
    </row>
    <row r="48" spans="2:25" s="14" customFormat="1" ht="15" customHeight="1" x14ac:dyDescent="0.25">
      <c r="B48" s="103">
        <v>7</v>
      </c>
      <c r="C48" s="104">
        <v>2100</v>
      </c>
      <c r="D48" s="105" t="s">
        <v>53</v>
      </c>
      <c r="E48" s="106">
        <v>200</v>
      </c>
      <c r="F48" s="107">
        <v>600</v>
      </c>
      <c r="G48" s="104">
        <v>300</v>
      </c>
      <c r="H48" s="108">
        <v>3850</v>
      </c>
      <c r="I48" s="109">
        <f t="shared" ref="I48" si="38">H48*9.80665</f>
        <v>37755.602500000001</v>
      </c>
      <c r="J48" s="109">
        <f t="shared" ref="J48" si="39">H48*$J$6</f>
        <v>1155</v>
      </c>
      <c r="K48" s="109">
        <f t="shared" ref="K48" si="40">J48*9.80665</f>
        <v>11326.68075</v>
      </c>
      <c r="L48" s="109">
        <f t="shared" ref="L48" si="41">H48*$J$7</f>
        <v>770</v>
      </c>
      <c r="M48" s="109">
        <f t="shared" ref="M48" si="42">L48*9.80665</f>
        <v>7551.1205</v>
      </c>
      <c r="N48" s="109">
        <f t="shared" ref="N48" si="43">I48*G48</f>
        <v>11326680.75</v>
      </c>
      <c r="O48" s="109">
        <f t="shared" ref="O48" si="44">K48*C48</f>
        <v>23786029.574999999</v>
      </c>
      <c r="P48" s="109">
        <f t="shared" ref="P48" si="45">N48+O48</f>
        <v>35112710.325000003</v>
      </c>
      <c r="Q48" s="109">
        <f t="shared" ref="Q48" si="46">M48*C48</f>
        <v>15857353.050000001</v>
      </c>
      <c r="R48" s="187"/>
      <c r="S48" s="158">
        <f>(I48*G48^3/(3*$C$8*INDEX(profile_H!$J$6:$J$17, MATCH(E48, profile_H!$C$6:$C$17, 0)))) + (I48*C48/($C$8* INDEX(profile_H!$H$6:$H$17, MATCH(E48, profile_H!$C$6:$C$17, 0))))  + (SIN(N48*C48/($C$8*INDEX(profile_H!$J$6:$J$17, MATCH(E48, profile_H!$C$6:$C$17, 0))))*G48)  + (SIN(K48*C48^2/(2*$C$8*INDEX(profile_H!$J$6:$J$17, MATCH(E48, profile_H!$C$6:$C$17, 0))))*G48)</f>
        <v>1.5695379015389239</v>
      </c>
      <c r="T48" s="158">
        <f>(N48*C48^2/(2*$C$8*INDEX(profile_H!$J$6:$J$17, MATCH(E48, profile_H!$C$6:$C$17, 0))))+ (K48*C48^3/(3*$C$8*INDEX(profile_H!$J$6:$J$17, MATCH(E48, profile_H!$C$6:$C$17, 0))))</f>
        <v>6.047295654661017</v>
      </c>
      <c r="U48" s="185"/>
      <c r="V48" s="131">
        <f>M48*C48^3/(3*$C$8*INDEX(profile_H!$M$6:$M$17, MATCH(E48, profile_H!$C$6:$C$17, 0)))</f>
        <v>6.9375919593750002</v>
      </c>
      <c r="W48" s="121">
        <v>1.5874999999999999</v>
      </c>
      <c r="X48" s="184">
        <f t="shared" si="9"/>
        <v>10.5</v>
      </c>
      <c r="Y48" s="190" t="str">
        <f t="shared" si="10"/>
        <v>O.K</v>
      </c>
    </row>
    <row r="49" spans="2:27" s="30" customFormat="1" ht="15" customHeight="1" x14ac:dyDescent="0.25">
      <c r="B49" s="103">
        <v>8</v>
      </c>
      <c r="C49" s="104">
        <v>2100</v>
      </c>
      <c r="D49" s="105" t="s">
        <v>53</v>
      </c>
      <c r="E49" s="106">
        <v>150</v>
      </c>
      <c r="F49" s="107">
        <v>600</v>
      </c>
      <c r="G49" s="104">
        <v>300</v>
      </c>
      <c r="H49" s="108">
        <v>1350</v>
      </c>
      <c r="I49" s="109">
        <f t="shared" si="0"/>
        <v>13238.977499999999</v>
      </c>
      <c r="J49" s="109">
        <f t="shared" si="1"/>
        <v>405</v>
      </c>
      <c r="K49" s="109">
        <f t="shared" si="2"/>
        <v>3971.6932499999998</v>
      </c>
      <c r="L49" s="109">
        <f t="shared" si="3"/>
        <v>270</v>
      </c>
      <c r="M49" s="109">
        <f t="shared" si="4"/>
        <v>2647.7954999999997</v>
      </c>
      <c r="N49" s="109">
        <f t="shared" si="5"/>
        <v>3971693.2499999995</v>
      </c>
      <c r="O49" s="109">
        <f t="shared" si="6"/>
        <v>8340555.8249999993</v>
      </c>
      <c r="P49" s="109">
        <f t="shared" si="7"/>
        <v>12312249.074999999</v>
      </c>
      <c r="Q49" s="109">
        <f t="shared" si="8"/>
        <v>5560370.5499999998</v>
      </c>
      <c r="R49" s="187"/>
      <c r="S49" s="158">
        <f>(I49*G49^3/(3*$C$8*INDEX(profile_H!$J$6:$J$17, MATCH(E49, profile_H!$C$6:$C$17, 0)))) + (I49*C49/($C$8* INDEX(profile_H!$H$6:$H$17, MATCH(E49, profile_H!$C$6:$C$17, 0))))  + (SIN(N49*C49/($C$8*INDEX(profile_H!$J$6:$J$17, MATCH(E49, profile_H!$C$6:$C$17, 0))))*G49)  + (SIN(K49*C49^2/(2*$C$8*INDEX(profile_H!$J$6:$J$17, MATCH(E49, profile_H!$C$6:$C$17, 0))))*G49)</f>
        <v>1.5569620742825347</v>
      </c>
      <c r="T49" s="158">
        <f>(N49*C49^2/(2*$C$8*INDEX(profile_H!$J$6:$J$17, MATCH(E49, profile_H!$C$6:$C$17, 0))))+ (K49*C49^3/(3*$C$8*INDEX(profile_H!$J$6:$J$17, MATCH(E49, profile_H!$C$6:$C$17, 0))))</f>
        <v>6.1028457256097557</v>
      </c>
      <c r="U49" s="185"/>
      <c r="V49" s="131">
        <f>M49*C49^3/(3*$C$8*INDEX(profile_H!$M$6:$M$17, MATCH(E49, profile_H!$C$6:$C$17, 0)))</f>
        <v>6.9134269715808161</v>
      </c>
      <c r="W49" s="121">
        <v>1.5874999999999999</v>
      </c>
      <c r="X49" s="184">
        <f t="shared" ref="X49" si="47">C49/200</f>
        <v>10.5</v>
      </c>
      <c r="Y49" s="190" t="str">
        <f t="shared" ref="Y49:Y56" si="48">IF(S49&lt;=W49, IF(MAX(T49,V49)&lt;=X49,"O.K","N.G"),"NG")</f>
        <v>O.K</v>
      </c>
    </row>
    <row r="50" spans="2:27" s="30" customFormat="1" ht="15" customHeight="1" x14ac:dyDescent="0.25">
      <c r="B50" s="103">
        <v>9</v>
      </c>
      <c r="C50" s="104">
        <v>2100</v>
      </c>
      <c r="D50" s="105" t="s">
        <v>53</v>
      </c>
      <c r="E50" s="106">
        <v>125</v>
      </c>
      <c r="F50" s="107">
        <v>600</v>
      </c>
      <c r="G50" s="104">
        <v>300</v>
      </c>
      <c r="H50" s="108">
        <v>700</v>
      </c>
      <c r="I50" s="109">
        <f t="shared" ref="I50:I56" si="49">H50*9.80665</f>
        <v>6864.6549999999997</v>
      </c>
      <c r="J50" s="109">
        <f t="shared" ref="J50:J56" si="50">H50*$J$6</f>
        <v>210</v>
      </c>
      <c r="K50" s="109">
        <f t="shared" ref="K50:K56" si="51">J50*9.80665</f>
        <v>2059.3964999999998</v>
      </c>
      <c r="L50" s="109">
        <f t="shared" ref="L50:L56" si="52">H50*$J$7</f>
        <v>140</v>
      </c>
      <c r="M50" s="109">
        <f t="shared" ref="M50:M56" si="53">L50*9.80665</f>
        <v>1372.9309999999998</v>
      </c>
      <c r="N50" s="109">
        <f t="shared" ref="N50:N56" si="54">I50*G50</f>
        <v>2059396.5</v>
      </c>
      <c r="O50" s="109">
        <f t="shared" ref="O50:O56" si="55">K50*C50</f>
        <v>4324732.6499999994</v>
      </c>
      <c r="P50" s="109">
        <f t="shared" ref="P50:P56" si="56">N50+O50</f>
        <v>6384129.1499999994</v>
      </c>
      <c r="Q50" s="109">
        <f t="shared" ref="Q50:Q56" si="57">M50*C50</f>
        <v>2883155.0999999996</v>
      </c>
      <c r="R50" s="187"/>
      <c r="S50" s="158">
        <f>(I50*G50^3/(3*$C$8*INDEX(profile_H!$J$6:$J$17, MATCH(E50, profile_H!$C$6:$C$17, 0)))) + (I50*C50/($C$8* INDEX(profile_H!$H$6:$H$17, MATCH(E50, profile_H!$C$6:$C$17, 0))))  + (SIN(N50*C50/($C$8*INDEX(profile_H!$J$6:$J$17, MATCH(E50, profile_H!$C$6:$C$17, 0))))*G50)  + (SIN(K50*C50^2/(2*$C$8*INDEX(profile_H!$J$6:$J$17, MATCH(E50, profile_H!$C$6:$C$17, 0))))*G50)</f>
        <v>1.5526924075538859</v>
      </c>
      <c r="T50" s="158">
        <f>(N50*C50^2/(2*$C$8*INDEX(profile_H!$J$6:$J$17, MATCH(E50, profile_H!$C$6:$C$17, 0))))+ (K50*C50^3/(3*$C$8*INDEX(profile_H!$J$6:$J$17, MATCH(E50, profile_H!$C$6:$C$17, 0))))</f>
        <v>6.1271300826446282</v>
      </c>
      <c r="U50" s="185"/>
      <c r="V50" s="131">
        <f>M50*C50^3/(3*$C$8*INDEX(profile_H!$M$6:$M$17, MATCH(E50, profile_H!$C$6:$C$17, 0)))</f>
        <v>6.8880838566552889</v>
      </c>
      <c r="W50" s="121">
        <v>1.5874999999999999</v>
      </c>
      <c r="X50" s="184">
        <f t="shared" ref="X50:X56" si="58">C50/200</f>
        <v>10.5</v>
      </c>
      <c r="Y50" s="190" t="str">
        <f t="shared" si="48"/>
        <v>O.K</v>
      </c>
    </row>
    <row r="51" spans="2:27" s="14" customFormat="1" ht="15" customHeight="1" x14ac:dyDescent="0.25">
      <c r="B51" s="103">
        <v>10</v>
      </c>
      <c r="C51" s="104">
        <v>1500</v>
      </c>
      <c r="D51" s="105" t="s">
        <v>53</v>
      </c>
      <c r="E51" s="106">
        <v>150</v>
      </c>
      <c r="F51" s="107">
        <v>600</v>
      </c>
      <c r="G51" s="104">
        <v>300</v>
      </c>
      <c r="H51" s="108">
        <v>2200</v>
      </c>
      <c r="I51" s="109">
        <f t="shared" si="49"/>
        <v>21574.629999999997</v>
      </c>
      <c r="J51" s="109">
        <f t="shared" si="50"/>
        <v>660</v>
      </c>
      <c r="K51" s="109">
        <f t="shared" si="51"/>
        <v>6472.3889999999992</v>
      </c>
      <c r="L51" s="109">
        <f t="shared" si="52"/>
        <v>440</v>
      </c>
      <c r="M51" s="109">
        <f t="shared" si="53"/>
        <v>4314.9259999999995</v>
      </c>
      <c r="N51" s="109">
        <f t="shared" si="54"/>
        <v>6472388.9999999991</v>
      </c>
      <c r="O51" s="109">
        <f t="shared" si="55"/>
        <v>9708583.4999999981</v>
      </c>
      <c r="P51" s="109">
        <f t="shared" si="56"/>
        <v>16180972.499999996</v>
      </c>
      <c r="Q51" s="109">
        <f t="shared" si="57"/>
        <v>6472388.9999999991</v>
      </c>
      <c r="R51" s="187"/>
      <c r="S51" s="158">
        <f>(I51*G51^3/(3*$C$8*INDEX(profile_H!$J$6:$J$17, MATCH(E51, profile_H!$C$6:$C$17, 0)))) + (I51*C51/($C$8* INDEX(profile_H!$H$6:$H$17, MATCH(E51, profile_H!$C$6:$C$17, 0))))  + (SIN(N51*C51/($C$8*INDEX(profile_H!$J$6:$J$17, MATCH(E51, profile_H!$C$6:$C$17, 0))))*G51)  + (SIN(K51*C51^2/(2*$C$8*INDEX(profile_H!$J$6:$J$17, MATCH(E51, profile_H!$C$6:$C$17, 0))))*G51)</f>
        <v>1.5747368533245956</v>
      </c>
      <c r="T51" s="158">
        <f>(N51*C51^2/(2*$C$8*INDEX(profile_H!$J$6:$J$17, MATCH(E51, profile_H!$C$6:$C$17, 0))))+ (K51*C51^3/(3*$C$8*INDEX(profile_H!$J$6:$J$17, MATCH(E51, profile_H!$C$6:$C$17, 0))))</f>
        <v>4.228477134146341</v>
      </c>
      <c r="U51" s="185"/>
      <c r="V51" s="131">
        <f>M51*C51^3/(3*$C$8*INDEX(profile_H!$M$6:$M$17, MATCH(E51, profile_H!$C$6:$C$17, 0)))</f>
        <v>4.1058037300177617</v>
      </c>
      <c r="W51" s="121">
        <v>1.5874999999999999</v>
      </c>
      <c r="X51" s="184">
        <f t="shared" si="58"/>
        <v>7.5</v>
      </c>
      <c r="Y51" s="190" t="str">
        <f t="shared" si="48"/>
        <v>O.K</v>
      </c>
    </row>
    <row r="52" spans="2:27" s="30" customFormat="1" ht="15" customHeight="1" x14ac:dyDescent="0.25">
      <c r="B52" s="103">
        <v>11</v>
      </c>
      <c r="C52" s="104">
        <v>1500</v>
      </c>
      <c r="D52" s="105" t="s">
        <v>53</v>
      </c>
      <c r="E52" s="106">
        <v>125</v>
      </c>
      <c r="F52" s="107">
        <v>600</v>
      </c>
      <c r="G52" s="104">
        <v>300</v>
      </c>
      <c r="H52" s="108">
        <v>1150</v>
      </c>
      <c r="I52" s="109">
        <f t="shared" si="49"/>
        <v>11277.647499999999</v>
      </c>
      <c r="J52" s="109">
        <f t="shared" si="50"/>
        <v>345</v>
      </c>
      <c r="K52" s="109">
        <f t="shared" si="51"/>
        <v>3383.2942499999999</v>
      </c>
      <c r="L52" s="109">
        <f t="shared" si="52"/>
        <v>230</v>
      </c>
      <c r="M52" s="109">
        <f t="shared" si="53"/>
        <v>2255.5294999999996</v>
      </c>
      <c r="N52" s="109">
        <f t="shared" si="54"/>
        <v>3383294.2499999995</v>
      </c>
      <c r="O52" s="109">
        <f t="shared" si="55"/>
        <v>5074941.375</v>
      </c>
      <c r="P52" s="109">
        <f t="shared" si="56"/>
        <v>8458235.625</v>
      </c>
      <c r="Q52" s="109">
        <f t="shared" si="57"/>
        <v>3383294.2499999995</v>
      </c>
      <c r="R52" s="187"/>
      <c r="S52" s="158">
        <f>(I52*G52^3/(3*$C$8*INDEX(profile_H!$J$6:$J$17, MATCH(E52, profile_H!$C$6:$C$17, 0)))) + (I52*C52/($C$8* INDEX(profile_H!$H$6:$H$17, MATCH(E52, profile_H!$C$6:$C$17, 0))))  + (SIN(N52*C52/($C$8*INDEX(profile_H!$J$6:$J$17, MATCH(E52, profile_H!$C$6:$C$17, 0))))*G52)  + (SIN(K52*C52^2/(2*$C$8*INDEX(profile_H!$J$6:$J$17, MATCH(E52, profile_H!$C$6:$C$17, 0))))*G52)</f>
        <v>1.5815553316593631</v>
      </c>
      <c r="T52" s="158">
        <f>(N52*C52^2/(2*$C$8*INDEX(profile_H!$J$6:$J$17, MATCH(E52, profile_H!$C$6:$C$17, 0))))+ (K52*C52^3/(3*$C$8*INDEX(profile_H!$J$6:$J$17, MATCH(E52, profile_H!$C$6:$C$17, 0))))</f>
        <v>4.2797616587957492</v>
      </c>
      <c r="U52" s="185"/>
      <c r="V52" s="131">
        <f>M52*C52^3/(3*$C$8*INDEX(profile_H!$M$6:$M$17, MATCH(E52, profile_H!$C$6:$C$17, 0)))</f>
        <v>4.1239569112627983</v>
      </c>
      <c r="W52" s="121">
        <v>1.5874999999999999</v>
      </c>
      <c r="X52" s="184">
        <f t="shared" si="58"/>
        <v>7.5</v>
      </c>
      <c r="Y52" s="190" t="str">
        <f t="shared" si="48"/>
        <v>O.K</v>
      </c>
    </row>
    <row r="53" spans="2:27" s="30" customFormat="1" ht="15" customHeight="1" x14ac:dyDescent="0.25">
      <c r="B53" s="103">
        <v>12</v>
      </c>
      <c r="C53" s="104">
        <v>1000</v>
      </c>
      <c r="D53" s="105" t="s">
        <v>53</v>
      </c>
      <c r="E53" s="106">
        <v>150</v>
      </c>
      <c r="F53" s="107">
        <v>600</v>
      </c>
      <c r="G53" s="104">
        <v>300</v>
      </c>
      <c r="H53" s="108">
        <v>3200</v>
      </c>
      <c r="I53" s="109">
        <f t="shared" si="49"/>
        <v>31381.279999999999</v>
      </c>
      <c r="J53" s="109">
        <f t="shared" si="50"/>
        <v>960</v>
      </c>
      <c r="K53" s="109">
        <f t="shared" si="51"/>
        <v>9414.384</v>
      </c>
      <c r="L53" s="109">
        <f t="shared" si="52"/>
        <v>640</v>
      </c>
      <c r="M53" s="109">
        <f t="shared" si="53"/>
        <v>6276.2559999999994</v>
      </c>
      <c r="N53" s="109">
        <f t="shared" si="54"/>
        <v>9414384</v>
      </c>
      <c r="O53" s="109">
        <f t="shared" si="55"/>
        <v>9414384</v>
      </c>
      <c r="P53" s="109">
        <f t="shared" si="56"/>
        <v>18828768</v>
      </c>
      <c r="Q53" s="109">
        <f t="shared" si="57"/>
        <v>6276255.9999999991</v>
      </c>
      <c r="R53" s="187"/>
      <c r="S53" s="158">
        <f>(I53*G53^3/(3*$C$8*INDEX(profile_H!$J$6:$J$17, MATCH(E53, profile_H!$C$6:$C$17, 0)))) + (I53*C53/($C$8* INDEX(profile_H!$H$6:$H$17, MATCH(E53, profile_H!$C$6:$C$17, 0))))  + (SIN(N53*C53/($C$8*INDEX(profile_H!$J$6:$J$17, MATCH(E53, profile_H!$C$6:$C$17, 0))))*G53)  + (SIN(K53*C53^2/(2*$C$8*INDEX(profile_H!$J$6:$J$17, MATCH(E53, profile_H!$C$6:$C$17, 0))))*G53)</f>
        <v>1.3493364867035531</v>
      </c>
      <c r="T53" s="158">
        <f>(N53*C53^2/(2*$C$8*INDEX(profile_H!$J$6:$J$17, MATCH(E53, profile_H!$C$6:$C$17, 0))))+ (K53*C53^3/(3*$C$8*INDEX(profile_H!$J$6:$J$17, MATCH(E53, profile_H!$C$6:$C$17, 0))))</f>
        <v>2.2779674796747971</v>
      </c>
      <c r="U53" s="185"/>
      <c r="V53" s="131">
        <f>M53*C53^3/(3*$C$8*INDEX(profile_H!$M$6:$M$17, MATCH(E53, profile_H!$C$6:$C$17, 0)))</f>
        <v>1.7695046378527726</v>
      </c>
      <c r="W53" s="121">
        <v>1.5874999999999999</v>
      </c>
      <c r="X53" s="184">
        <f t="shared" si="58"/>
        <v>5</v>
      </c>
      <c r="Y53" s="190" t="str">
        <f t="shared" si="48"/>
        <v>O.K</v>
      </c>
      <c r="Z53" s="188"/>
      <c r="AA53" s="217" t="s">
        <v>222</v>
      </c>
    </row>
    <row r="54" spans="2:27" s="30" customFormat="1" ht="15" customHeight="1" x14ac:dyDescent="0.25">
      <c r="B54" s="103">
        <v>13</v>
      </c>
      <c r="C54" s="104">
        <v>1000</v>
      </c>
      <c r="D54" s="105" t="s">
        <v>53</v>
      </c>
      <c r="E54" s="106">
        <v>125</v>
      </c>
      <c r="F54" s="107">
        <v>600</v>
      </c>
      <c r="G54" s="104">
        <v>300</v>
      </c>
      <c r="H54" s="108">
        <v>1950</v>
      </c>
      <c r="I54" s="109">
        <f t="shared" si="49"/>
        <v>19122.967499999999</v>
      </c>
      <c r="J54" s="109">
        <f t="shared" si="50"/>
        <v>585</v>
      </c>
      <c r="K54" s="109">
        <f t="shared" si="51"/>
        <v>5736.8902499999995</v>
      </c>
      <c r="L54" s="109">
        <f t="shared" si="52"/>
        <v>390</v>
      </c>
      <c r="M54" s="109">
        <f t="shared" si="53"/>
        <v>3824.5934999999999</v>
      </c>
      <c r="N54" s="109">
        <f t="shared" si="54"/>
        <v>5736890.25</v>
      </c>
      <c r="O54" s="109">
        <f t="shared" si="55"/>
        <v>5736890.2499999991</v>
      </c>
      <c r="P54" s="109">
        <f t="shared" si="56"/>
        <v>11473780.5</v>
      </c>
      <c r="Q54" s="109">
        <f t="shared" si="57"/>
        <v>3824593.5</v>
      </c>
      <c r="R54" s="187"/>
      <c r="S54" s="158">
        <f>(I54*G54^3/(3*$C$8*INDEX(profile_H!$J$6:$J$17, MATCH(E54, profile_H!$C$6:$C$17, 0)))) + (I54*C54/($C$8* INDEX(profile_H!$H$6:$H$17, MATCH(E54, profile_H!$C$6:$C$17, 0))))  + (SIN(N54*C54/($C$8*INDEX(profile_H!$J$6:$J$17, MATCH(E54, profile_H!$C$6:$C$17, 0))))*G54)  + (SIN(K54*C54^2/(2*$C$8*INDEX(profile_H!$J$6:$J$17, MATCH(E54, profile_H!$C$6:$C$17, 0))))*G54)</f>
        <v>1.5781988411108143</v>
      </c>
      <c r="T54" s="158">
        <f>(N54*C54^2/(2*$C$8*INDEX(profile_H!$J$6:$J$17, MATCH(E54, profile_H!$C$6:$C$17, 0))))+ (K54*C54^3/(3*$C$8*INDEX(profile_H!$J$6:$J$17, MATCH(E54, profile_H!$C$6:$C$17, 0))))</f>
        <v>2.687773022432113</v>
      </c>
      <c r="U54" s="185"/>
      <c r="V54" s="131">
        <f>M54*C54^3/(3*$C$8*INDEX(profile_H!$M$6:$M$17, MATCH(E54, profile_H!$C$6:$C$17, 0)))</f>
        <v>2.0719397042093286</v>
      </c>
      <c r="W54" s="121">
        <v>1.5874999999999999</v>
      </c>
      <c r="X54" s="184">
        <f t="shared" si="58"/>
        <v>5</v>
      </c>
      <c r="Y54" s="190" t="str">
        <f t="shared" si="48"/>
        <v>O.K</v>
      </c>
    </row>
    <row r="55" spans="2:27" s="30" customFormat="1" ht="15" customHeight="1" x14ac:dyDescent="0.25">
      <c r="B55" s="103">
        <v>14</v>
      </c>
      <c r="C55" s="104">
        <v>500</v>
      </c>
      <c r="D55" s="105" t="s">
        <v>53</v>
      </c>
      <c r="E55" s="106">
        <v>150</v>
      </c>
      <c r="F55" s="107">
        <v>600</v>
      </c>
      <c r="G55" s="104">
        <v>300</v>
      </c>
      <c r="H55" s="108">
        <v>4500</v>
      </c>
      <c r="I55" s="109">
        <f t="shared" si="49"/>
        <v>44129.924999999996</v>
      </c>
      <c r="J55" s="109">
        <f t="shared" si="50"/>
        <v>1350</v>
      </c>
      <c r="K55" s="109">
        <f t="shared" si="51"/>
        <v>13238.977499999999</v>
      </c>
      <c r="L55" s="109">
        <f t="shared" si="52"/>
        <v>900</v>
      </c>
      <c r="M55" s="109">
        <f t="shared" si="53"/>
        <v>8825.9849999999988</v>
      </c>
      <c r="N55" s="109">
        <f t="shared" si="54"/>
        <v>13238977.499999998</v>
      </c>
      <c r="O55" s="109">
        <f t="shared" si="55"/>
        <v>6619488.7499999991</v>
      </c>
      <c r="P55" s="109">
        <f t="shared" si="56"/>
        <v>19858466.249999996</v>
      </c>
      <c r="Q55" s="109">
        <f t="shared" si="57"/>
        <v>4412992.4999999991</v>
      </c>
      <c r="R55" s="187"/>
      <c r="S55" s="158">
        <f>(I55*G55^3/(3*$C$8*INDEX(profile_H!$J$6:$J$17, MATCH(E55, profile_H!$C$6:$C$17, 0)))) + (I55*C55/($C$8* INDEX(profile_H!$H$6:$H$17, MATCH(E55, profile_H!$C$6:$C$17, 0))))  + (SIN(N55*C55/($C$8*INDEX(profile_H!$J$6:$J$17, MATCH(E55, profile_H!$C$6:$C$17, 0))))*G55)  + (SIN(K55*C55^2/(2*$C$8*INDEX(profile_H!$J$6:$J$17, MATCH(E55, profile_H!$C$6:$C$17, 0))))*G55)</f>
        <v>0.86226108677100233</v>
      </c>
      <c r="T55" s="158">
        <f>(N55*C55^2/(2*$C$8*INDEX(profile_H!$J$6:$J$17, MATCH(E55, profile_H!$C$6:$C$17, 0))))+ (K55*C55^3/(3*$C$8*INDEX(profile_H!$J$6:$J$17, MATCH(E55, profile_H!$C$6:$C$17, 0))))</f>
        <v>0.64067835365853654</v>
      </c>
      <c r="U55" s="185"/>
      <c r="V55" s="131">
        <f>M55*C55^3/(3*$C$8*INDEX(profile_H!$M$6:$M$17, MATCH(E55, profile_H!$C$6:$C$17, 0)))</f>
        <v>0.31104573712255768</v>
      </c>
      <c r="W55" s="121">
        <v>1.5874999999999999</v>
      </c>
      <c r="X55" s="184">
        <f t="shared" si="58"/>
        <v>2.5</v>
      </c>
      <c r="Y55" s="190" t="str">
        <f t="shared" si="48"/>
        <v>O.K</v>
      </c>
      <c r="AA55" s="217" t="s">
        <v>222</v>
      </c>
    </row>
    <row r="56" spans="2:27" s="30" customFormat="1" ht="15" customHeight="1" x14ac:dyDescent="0.25">
      <c r="B56" s="103">
        <v>15</v>
      </c>
      <c r="C56" s="108">
        <v>500</v>
      </c>
      <c r="D56" s="112" t="s">
        <v>53</v>
      </c>
      <c r="E56" s="106">
        <v>125</v>
      </c>
      <c r="F56" s="111">
        <v>600</v>
      </c>
      <c r="G56" s="108">
        <v>300</v>
      </c>
      <c r="H56" s="108">
        <v>2900</v>
      </c>
      <c r="I56" s="109">
        <f t="shared" si="49"/>
        <v>28439.285</v>
      </c>
      <c r="J56" s="109">
        <f t="shared" si="50"/>
        <v>870</v>
      </c>
      <c r="K56" s="109">
        <f t="shared" si="51"/>
        <v>8531.7855</v>
      </c>
      <c r="L56" s="109">
        <f t="shared" si="52"/>
        <v>580</v>
      </c>
      <c r="M56" s="109">
        <f t="shared" si="53"/>
        <v>5687.857</v>
      </c>
      <c r="N56" s="109">
        <f t="shared" si="54"/>
        <v>8531785.5</v>
      </c>
      <c r="O56" s="109">
        <f t="shared" si="55"/>
        <v>4265892.75</v>
      </c>
      <c r="P56" s="109">
        <f t="shared" si="56"/>
        <v>12797678.25</v>
      </c>
      <c r="Q56" s="109">
        <f t="shared" si="57"/>
        <v>2843928.5</v>
      </c>
      <c r="R56" s="187"/>
      <c r="S56" s="158">
        <f>(I56*G56^3/(3*$C$8*INDEX(profile_H!$J$6:$J$17, MATCH(E56, profile_H!$C$6:$C$17, 0)))) + (I56*C56/($C$8* INDEX(profile_H!$H$6:$H$17, MATCH(E56, profile_H!$C$6:$C$17, 0))))  + (SIN(N56*C56/($C$8*INDEX(profile_H!$J$6:$J$17, MATCH(E56, profile_H!$C$6:$C$17, 0))))*G56)  + (SIN(K56*C56^2/(2*$C$8*INDEX(profile_H!$J$6:$J$17, MATCH(E56, profile_H!$C$6:$C$17, 0))))*G56)</f>
        <v>1.0656087500151752</v>
      </c>
      <c r="T56" s="158">
        <f>(N56*C56^2/(2*$C$8*INDEX(profile_H!$J$6:$J$17, MATCH(E56, profile_H!$C$6:$C$17, 0))))+ (K56*C56^3/(3*$C$8*INDEX(profile_H!$J$6:$J$17, MATCH(E56, profile_H!$C$6:$C$17, 0))))</f>
        <v>0.79944018103109016</v>
      </c>
      <c r="U56" s="185"/>
      <c r="V56" s="131">
        <f>M56*C56^3/(3*$C$8*INDEX(profile_H!$M$6:$M$17, MATCH(E56, profile_H!$C$6:$C$17, 0)))</f>
        <v>0.385168278346606</v>
      </c>
      <c r="W56" s="121">
        <v>1.5874999999999999</v>
      </c>
      <c r="X56" s="184">
        <f t="shared" si="58"/>
        <v>2.5</v>
      </c>
      <c r="Y56" s="190" t="str">
        <f t="shared" si="48"/>
        <v>O.K</v>
      </c>
      <c r="AA56" s="217" t="s">
        <v>222</v>
      </c>
    </row>
    <row r="57" spans="2:27" s="30" customFormat="1" ht="15" customHeight="1" x14ac:dyDescent="0.25">
      <c r="B57" s="110"/>
      <c r="C57" s="108"/>
      <c r="D57" s="112"/>
      <c r="E57" s="113"/>
      <c r="F57" s="111"/>
      <c r="G57" s="108"/>
      <c r="H57" s="108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30"/>
      <c r="T57" s="130"/>
      <c r="U57" s="130"/>
      <c r="V57" s="131"/>
      <c r="W57" s="121"/>
      <c r="X57" s="121"/>
      <c r="Y57" s="122"/>
    </row>
    <row r="58" spans="2:27" s="30" customFormat="1" ht="15" customHeight="1" thickBot="1" x14ac:dyDescent="0.3">
      <c r="B58" s="159"/>
      <c r="C58" s="160"/>
      <c r="D58" s="161"/>
      <c r="E58" s="162"/>
      <c r="F58" s="163"/>
      <c r="G58" s="160"/>
      <c r="H58" s="160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5"/>
      <c r="T58" s="165"/>
      <c r="U58" s="165"/>
      <c r="V58" s="166"/>
      <c r="W58" s="167"/>
      <c r="X58" s="167"/>
      <c r="Y58" s="168"/>
    </row>
    <row r="59" spans="2:27" s="30" customFormat="1" ht="15" customHeight="1" x14ac:dyDescent="0.25">
      <c r="B59" s="198"/>
      <c r="C59" s="199"/>
      <c r="D59" s="200"/>
      <c r="E59" s="201"/>
      <c r="F59" s="202"/>
      <c r="G59" s="199"/>
      <c r="H59" s="199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4"/>
      <c r="T59" s="204"/>
      <c r="U59" s="204"/>
      <c r="V59" s="205"/>
      <c r="W59" s="206"/>
      <c r="X59" s="206"/>
      <c r="Y59" s="207"/>
    </row>
    <row r="60" spans="2:27" s="16" customFormat="1" ht="15" customHeight="1" x14ac:dyDescent="0.15">
      <c r="V60" s="114"/>
    </row>
    <row r="61" spans="2:27" s="12" customFormat="1" ht="15" customHeight="1" thickBot="1" x14ac:dyDescent="0.2">
      <c r="B61" s="3" t="s">
        <v>183</v>
      </c>
    </row>
    <row r="62" spans="2:27" s="12" customFormat="1" ht="20.100000000000001" customHeight="1" thickBot="1" x14ac:dyDescent="0.2">
      <c r="B62" s="182" t="s">
        <v>205</v>
      </c>
      <c r="T62" s="102"/>
    </row>
    <row r="63" spans="2:27" s="11" customFormat="1" ht="15" customHeight="1" x14ac:dyDescent="0.15">
      <c r="B63" s="226" t="s">
        <v>16</v>
      </c>
      <c r="C63" s="222" t="s">
        <v>114</v>
      </c>
      <c r="D63" s="222" t="s">
        <v>17</v>
      </c>
      <c r="E63" s="222"/>
      <c r="F63" s="222" t="s">
        <v>139</v>
      </c>
      <c r="G63" s="222" t="s">
        <v>140</v>
      </c>
      <c r="H63" s="222" t="s">
        <v>115</v>
      </c>
      <c r="I63" s="222" t="s">
        <v>116</v>
      </c>
      <c r="J63" s="222" t="s">
        <v>117</v>
      </c>
      <c r="K63" s="222" t="s">
        <v>118</v>
      </c>
      <c r="L63" s="222" t="s">
        <v>120</v>
      </c>
      <c r="M63" s="222" t="s">
        <v>121</v>
      </c>
      <c r="N63" s="222" t="s">
        <v>127</v>
      </c>
      <c r="O63" s="222" t="s">
        <v>128</v>
      </c>
      <c r="P63" s="222" t="s">
        <v>129</v>
      </c>
      <c r="Q63" s="222" t="s">
        <v>130</v>
      </c>
      <c r="R63" s="222" t="s">
        <v>119</v>
      </c>
      <c r="S63" s="224" t="s">
        <v>147</v>
      </c>
      <c r="T63" s="224"/>
      <c r="U63" s="224" t="s">
        <v>149</v>
      </c>
      <c r="V63" s="225"/>
      <c r="W63" s="222" t="s">
        <v>156</v>
      </c>
      <c r="X63" s="222" t="s">
        <v>155</v>
      </c>
      <c r="Y63" s="220" t="s">
        <v>148</v>
      </c>
    </row>
    <row r="64" spans="2:27" s="11" customFormat="1" ht="50.1" customHeight="1" x14ac:dyDescent="0.15">
      <c r="B64" s="227"/>
      <c r="C64" s="223"/>
      <c r="D64" s="223"/>
      <c r="E64" s="223"/>
      <c r="F64" s="223"/>
      <c r="G64" s="223"/>
      <c r="H64" s="223"/>
      <c r="I64" s="223"/>
      <c r="J64" s="223"/>
      <c r="K64" s="223"/>
      <c r="L64" s="223"/>
      <c r="M64" s="223"/>
      <c r="N64" s="223"/>
      <c r="O64" s="223"/>
      <c r="P64" s="223"/>
      <c r="Q64" s="223"/>
      <c r="R64" s="223"/>
      <c r="S64" s="118" t="s">
        <v>157</v>
      </c>
      <c r="T64" s="118" t="s">
        <v>262</v>
      </c>
      <c r="U64" s="118" t="s">
        <v>158</v>
      </c>
      <c r="V64" s="119" t="s">
        <v>159</v>
      </c>
      <c r="W64" s="223"/>
      <c r="X64" s="223"/>
      <c r="Y64" s="221"/>
    </row>
    <row r="65" spans="2:28" s="14" customFormat="1" ht="15" customHeight="1" x14ac:dyDescent="0.25">
      <c r="B65" s="103">
        <v>1</v>
      </c>
      <c r="C65" s="104">
        <v>3000</v>
      </c>
      <c r="D65" s="105" t="s">
        <v>197</v>
      </c>
      <c r="E65" s="106">
        <v>200</v>
      </c>
      <c r="F65" s="107">
        <v>600</v>
      </c>
      <c r="G65" s="104">
        <v>300</v>
      </c>
      <c r="H65" s="108">
        <v>450</v>
      </c>
      <c r="I65" s="109">
        <f t="shared" ref="I65" si="59">H65*9.80665</f>
        <v>4412.9924999999994</v>
      </c>
      <c r="J65" s="109">
        <f t="shared" ref="J65" si="60">H65*$J$6</f>
        <v>135</v>
      </c>
      <c r="K65" s="109">
        <f t="shared" ref="K65" si="61">J65*9.80665</f>
        <v>1323.8977499999999</v>
      </c>
      <c r="L65" s="109">
        <f t="shared" ref="L65" si="62">H65*$J$7</f>
        <v>90</v>
      </c>
      <c r="M65" s="109">
        <f t="shared" ref="M65" si="63">L65*9.80665</f>
        <v>882.59849999999994</v>
      </c>
      <c r="N65" s="109">
        <f t="shared" ref="N65" si="64">I65*G65</f>
        <v>1323897.7499999998</v>
      </c>
      <c r="O65" s="109">
        <f t="shared" ref="O65" si="65">K65*C65</f>
        <v>3971693.2499999995</v>
      </c>
      <c r="P65" s="109">
        <f t="shared" ref="P65" si="66">N65+O65</f>
        <v>5295590.9999999991</v>
      </c>
      <c r="Q65" s="109">
        <f t="shared" ref="Q65" si="67">M65*C65</f>
        <v>2647795.5</v>
      </c>
      <c r="R65" s="187"/>
      <c r="S65" s="158">
        <f>(I65*G65^3/(3*$C$8*INDEX(profile_C!$J$6:$J$20, MATCH(E65, profile_C!$C$6:$C$20, 0)))) + (I65*C65/($C$8* INDEX(profile_C!$H$6:$H$20, MATCH(E65, profile_C!$C$6:$C$20, 0))))  + (SIN(N65*C65/($C$8*INDEX(profile_C!$J$6:$J$20, MATCH(E65, profile_C!$C$6:$C$20, 0))))*G65)  + (SIN(K65*C65^2/(2*$C$8*INDEX(profile_C!$J$6:$J$20, MATCH(E65, profile_C!$C$6:$C$20, 0))))*G65)</f>
        <v>0.59357000997484732</v>
      </c>
      <c r="T65" s="158">
        <f>(N65*C65^2/(2*$C$8*INDEX(profile_C!$J$6:$J$20, MATCH(E65, profile_C!$C$6:$C$20, 0))))+ (K65*C65^3/(3*$C$8*INDEX(profile_C!$J$6:$J$20, MATCH(E65, profile_C!$C$6:$C$20, 0))))</f>
        <v>3.4179804216867469</v>
      </c>
      <c r="U65" s="185"/>
      <c r="V65" s="131">
        <f>M65*C65^3/(3*$C$8*INDEX(profile_C!$M$6:$M$20, MATCH(E65, profile_C!$C$6:$C$20, 0)))</f>
        <v>13.655469314079422</v>
      </c>
      <c r="W65" s="121">
        <v>1.5874999999999999</v>
      </c>
      <c r="X65" s="184">
        <f t="shared" ref="X65:X77" si="68">C65/200</f>
        <v>15</v>
      </c>
      <c r="Y65" s="190" t="str">
        <f t="shared" ref="Y65:Y77" si="69">IF(S65&lt;=W65, IF(MAX(T65,V65)&lt;=X65,"O.K","N.G"),"NG")</f>
        <v>O.K</v>
      </c>
      <c r="AA65" s="98"/>
      <c r="AB65" s="140"/>
    </row>
    <row r="66" spans="2:28" s="14" customFormat="1" ht="15" customHeight="1" x14ac:dyDescent="0.25">
      <c r="B66" s="103">
        <v>2</v>
      </c>
      <c r="C66" s="104">
        <v>2500</v>
      </c>
      <c r="D66" s="105" t="s">
        <v>197</v>
      </c>
      <c r="E66" s="106">
        <v>200</v>
      </c>
      <c r="F66" s="107">
        <v>600</v>
      </c>
      <c r="G66" s="104">
        <v>300</v>
      </c>
      <c r="H66" s="108">
        <v>700</v>
      </c>
      <c r="I66" s="109">
        <f t="shared" ref="I66:I67" si="70">H66*9.80665</f>
        <v>6864.6549999999997</v>
      </c>
      <c r="J66" s="109">
        <f t="shared" ref="J66:J67" si="71">H66*$J$6</f>
        <v>210</v>
      </c>
      <c r="K66" s="109">
        <f t="shared" ref="K66:K67" si="72">J66*9.80665</f>
        <v>2059.3964999999998</v>
      </c>
      <c r="L66" s="109">
        <f t="shared" ref="L66:L67" si="73">H66*$J$7</f>
        <v>140</v>
      </c>
      <c r="M66" s="109">
        <f t="shared" ref="M66:M67" si="74">L66*9.80665</f>
        <v>1372.9309999999998</v>
      </c>
      <c r="N66" s="109">
        <f t="shared" ref="N66:N67" si="75">I66*G66</f>
        <v>2059396.5</v>
      </c>
      <c r="O66" s="109">
        <f t="shared" ref="O66:O67" si="76">K66*C66</f>
        <v>5148491.25</v>
      </c>
      <c r="P66" s="109">
        <f t="shared" ref="P66:P67" si="77">N66+O66</f>
        <v>7207887.75</v>
      </c>
      <c r="Q66" s="109">
        <f t="shared" ref="Q66:Q67" si="78">M66*C66</f>
        <v>3432327.4999999995</v>
      </c>
      <c r="R66" s="187"/>
      <c r="S66" s="158">
        <f>(I66*G66^3/(3*$C$8*INDEX(profile_C!$J$6:$J$20, MATCH(E66, profile_C!$C$6:$C$20, 0)))) + (I66*C66/($C$8* INDEX(profile_C!$H$6:$H$20, MATCH(E66, profile_C!$C$6:$C$20, 0))))  + (SIN(N66*C66/($C$8*INDEX(profile_C!$J$6:$J$20, MATCH(E66, profile_C!$C$6:$C$20, 0))))*G66)  + (SIN(K66*C66^2/(2*$C$8*INDEX(profile_C!$J$6:$J$20, MATCH(E66, profile_C!$C$6:$C$20, 0))))*G66)</f>
        <v>0.69756653964341098</v>
      </c>
      <c r="T66" s="158">
        <f>(N66*C66^2/(2*$C$8*INDEX(profile_C!$J$6:$J$20, MATCH(E66, profile_C!$C$6:$C$20, 0))))+ (K66*C66^3/(3*$C$8*INDEX(profile_C!$J$6:$J$20, MATCH(E66, profile_C!$C$6:$C$20, 0))))</f>
        <v>3.2820113788487282</v>
      </c>
      <c r="U66" s="185"/>
      <c r="V66" s="131">
        <f>M66*C66^3/(3*$C$8*INDEX(profile_C!$M$6:$M$20, MATCH(E66, profile_C!$C$6:$C$20, 0)))</f>
        <v>12.292732150020054</v>
      </c>
      <c r="W66" s="121">
        <v>1.5874999999999999</v>
      </c>
      <c r="X66" s="184">
        <f t="shared" ref="X66:X67" si="79">C66/200</f>
        <v>12.5</v>
      </c>
      <c r="Y66" s="190" t="str">
        <f t="shared" ref="Y66:Y67" si="80">IF(S66&lt;=W66, IF(MAX(T66,V66)&lt;=X66,"O.K","N.G"),"NG")</f>
        <v>O.K</v>
      </c>
      <c r="AA66" s="98"/>
      <c r="AB66" s="140"/>
    </row>
    <row r="67" spans="2:28" s="14" customFormat="1" ht="15" customHeight="1" x14ac:dyDescent="0.25">
      <c r="B67" s="103">
        <v>3</v>
      </c>
      <c r="C67" s="104">
        <v>2100</v>
      </c>
      <c r="D67" s="105" t="s">
        <v>197</v>
      </c>
      <c r="E67" s="106">
        <v>150</v>
      </c>
      <c r="F67" s="107">
        <v>600</v>
      </c>
      <c r="G67" s="104">
        <v>300</v>
      </c>
      <c r="H67" s="108">
        <v>400</v>
      </c>
      <c r="I67" s="109">
        <f t="shared" si="70"/>
        <v>3922.66</v>
      </c>
      <c r="J67" s="109">
        <f t="shared" si="71"/>
        <v>120</v>
      </c>
      <c r="K67" s="109">
        <f t="shared" si="72"/>
        <v>1176.798</v>
      </c>
      <c r="L67" s="109">
        <f t="shared" si="73"/>
        <v>80</v>
      </c>
      <c r="M67" s="109">
        <f t="shared" si="74"/>
        <v>784.53199999999993</v>
      </c>
      <c r="N67" s="109">
        <f t="shared" si="75"/>
        <v>1176798</v>
      </c>
      <c r="O67" s="109">
        <f t="shared" si="76"/>
        <v>2471275.7999999998</v>
      </c>
      <c r="P67" s="109">
        <f t="shared" si="77"/>
        <v>3648073.8</v>
      </c>
      <c r="Q67" s="109">
        <f t="shared" si="78"/>
        <v>1647517.2</v>
      </c>
      <c r="R67" s="187"/>
      <c r="S67" s="158">
        <f>(I67*G67^3/(3*$C$8*INDEX(profile_C!$J$6:$J$20, MATCH(E67, profile_C!$C$6:$C$20, 0)))) + (I67*C67/($C$8* INDEX(profile_C!$H$6:$H$20, MATCH(E67, profile_C!$C$6:$C$20, 0))))  + (SIN(N67*C67/($C$8*INDEX(profile_C!$J$6:$J$20, MATCH(E67, profile_C!$C$6:$C$20, 0))))*G67)  + (SIN(K67*C67^2/(2*$C$8*INDEX(profile_C!$J$6:$J$20, MATCH(E67, profile_C!$C$6:$C$20, 0))))*G67)</f>
        <v>0.87663948737847563</v>
      </c>
      <c r="T67" s="158">
        <f>(N67*C67^2/(2*$C$8*INDEX(profile_C!$J$6:$J$20, MATCH(E67, profile_C!$C$6:$C$20, 0))))+ (K67*C67^3/(3*$C$8*INDEX(profile_C!$J$6:$J$20, MATCH(E67, profile_C!$C$6:$C$20, 0))))</f>
        <v>3.4442868292682922</v>
      </c>
      <c r="U67" s="185"/>
      <c r="V67" s="131">
        <f>M67*C67^3/(3*$C$8*INDEX(profile_C!$M$6:$M$20, MATCH(E67, profile_C!$C$6:$C$20, 0)))</f>
        <v>9.8569405128205112</v>
      </c>
      <c r="W67" s="121">
        <v>1.5874999999999999</v>
      </c>
      <c r="X67" s="184">
        <f t="shared" si="79"/>
        <v>10.5</v>
      </c>
      <c r="Y67" s="190" t="str">
        <f t="shared" si="80"/>
        <v>O.K</v>
      </c>
      <c r="AA67" s="98"/>
      <c r="AB67" s="140"/>
    </row>
    <row r="68" spans="2:28" s="30" customFormat="1" ht="15" customHeight="1" x14ac:dyDescent="0.25">
      <c r="B68" s="103">
        <v>4</v>
      </c>
      <c r="C68" s="104">
        <v>1900</v>
      </c>
      <c r="D68" s="105" t="s">
        <v>197</v>
      </c>
      <c r="E68" s="106">
        <v>125</v>
      </c>
      <c r="F68" s="107">
        <v>600</v>
      </c>
      <c r="G68" s="104">
        <v>300</v>
      </c>
      <c r="H68" s="108">
        <v>250</v>
      </c>
      <c r="I68" s="109">
        <f t="shared" ref="I68:I71" si="81">H68*9.80665</f>
        <v>2451.6624999999999</v>
      </c>
      <c r="J68" s="109">
        <f t="shared" ref="J68:J71" si="82">H68*$J$6</f>
        <v>75</v>
      </c>
      <c r="K68" s="109">
        <f t="shared" ref="K68:K71" si="83">J68*9.80665</f>
        <v>735.49874999999997</v>
      </c>
      <c r="L68" s="109">
        <f t="shared" ref="L68:L71" si="84">H68*$J$7</f>
        <v>50</v>
      </c>
      <c r="M68" s="109">
        <f t="shared" ref="M68:M71" si="85">L68*9.80665</f>
        <v>490.33249999999998</v>
      </c>
      <c r="N68" s="109">
        <f t="shared" ref="N68:N71" si="86">I68*G68</f>
        <v>735498.75</v>
      </c>
      <c r="O68" s="109">
        <f t="shared" ref="O68:O71" si="87">K68*C68</f>
        <v>1397447.625</v>
      </c>
      <c r="P68" s="109">
        <f t="shared" ref="P68:P71" si="88">N68+O68</f>
        <v>2132946.375</v>
      </c>
      <c r="Q68" s="109">
        <f t="shared" ref="Q68:Q71" si="89">M68*C68</f>
        <v>931631.75</v>
      </c>
      <c r="R68" s="187"/>
      <c r="S68" s="158">
        <f>(I68*G68^3/(3*$C$8*INDEX(profile_C!$J$6:$J$20, MATCH(E68, profile_C!$C$6:$C$20, 0)))) + (I68*C68/($C$8* INDEX(profile_C!$H$6:$H$20, MATCH(E68, profile_C!$C$6:$C$20, 0))))  + (SIN(N68*C68/($C$8*INDEX(profile_C!$J$6:$J$20, MATCH(E68, profile_C!$C$6:$C$20, 0))))*G68)  + (SIN(K68*C68^2/(2*$C$8*INDEX(profile_C!$J$6:$J$20, MATCH(E68, profile_C!$C$6:$C$20, 0))))*G68)</f>
        <v>0.95587916377622495</v>
      </c>
      <c r="T68" s="158">
        <f>(N68*C68^2/(2*$C$8*INDEX(profile_C!$J$6:$J$20, MATCH(E68, profile_C!$C$6:$C$20, 0))))+ (K68*C68^3/(3*$C$8*INDEX(profile_C!$J$6:$J$20, MATCH(E68, profile_C!$C$6:$C$20, 0))))</f>
        <v>3.3795715998427673</v>
      </c>
      <c r="U68" s="185"/>
      <c r="V68" s="131">
        <f>M68*C68^3/(3*$C$8*INDEX(profile_C!$M$6:$M$20, MATCH(E68, profile_C!$C$6:$C$20, 0)))</f>
        <v>8.6381841513843938</v>
      </c>
      <c r="W68" s="121">
        <v>1.5874999999999999</v>
      </c>
      <c r="X68" s="184">
        <f t="shared" si="68"/>
        <v>9.5</v>
      </c>
      <c r="Y68" s="190" t="str">
        <f t="shared" si="69"/>
        <v>O.K</v>
      </c>
      <c r="AA68" s="218"/>
      <c r="AB68" s="140"/>
    </row>
    <row r="69" spans="2:28" s="30" customFormat="1" ht="15" customHeight="1" x14ac:dyDescent="0.25">
      <c r="B69" s="103">
        <v>5</v>
      </c>
      <c r="C69" s="104">
        <v>1500</v>
      </c>
      <c r="D69" s="105" t="s">
        <v>197</v>
      </c>
      <c r="E69" s="106">
        <v>150</v>
      </c>
      <c r="F69" s="107">
        <v>600</v>
      </c>
      <c r="G69" s="104">
        <v>300</v>
      </c>
      <c r="H69" s="108">
        <v>650</v>
      </c>
      <c r="I69" s="109">
        <f t="shared" si="81"/>
        <v>6374.3224999999993</v>
      </c>
      <c r="J69" s="109">
        <f t="shared" si="82"/>
        <v>195</v>
      </c>
      <c r="K69" s="109">
        <f t="shared" si="83"/>
        <v>1912.29675</v>
      </c>
      <c r="L69" s="109">
        <f t="shared" si="84"/>
        <v>130</v>
      </c>
      <c r="M69" s="109">
        <f t="shared" si="85"/>
        <v>1274.8644999999999</v>
      </c>
      <c r="N69" s="109">
        <f t="shared" si="86"/>
        <v>1912296.7499999998</v>
      </c>
      <c r="O69" s="109">
        <f t="shared" si="87"/>
        <v>2868445.125</v>
      </c>
      <c r="P69" s="109">
        <f t="shared" si="88"/>
        <v>4780741.875</v>
      </c>
      <c r="Q69" s="109">
        <f t="shared" si="89"/>
        <v>1912296.7499999998</v>
      </c>
      <c r="R69" s="187"/>
      <c r="S69" s="158">
        <f>(I69*G69^3/(3*$C$8*INDEX(profile_C!$J$6:$J$20, MATCH(E69, profile_C!$C$6:$C$20, 0)))) + (I69*C69/($C$8* INDEX(profile_C!$H$6:$H$20, MATCH(E69, profile_C!$C$6:$C$20, 0))))  + (SIN(N69*C69/($C$8*INDEX(profile_C!$J$6:$J$20, MATCH(E69, profile_C!$C$6:$C$20, 0))))*G69)  + (SIN(K69*C69^2/(2*$C$8*INDEX(profile_C!$J$6:$J$20, MATCH(E69, profile_C!$C$6:$C$20, 0))))*G69)</f>
        <v>0.88381364567984178</v>
      </c>
      <c r="T69" s="158">
        <f>(N69*C69^2/(2*$C$8*INDEX(profile_C!$J$6:$J$20, MATCH(E69, profile_C!$C$6:$C$20, 0))))+ (K69*C69^3/(3*$C$8*INDEX(profile_C!$J$6:$J$20, MATCH(E69, profile_C!$C$6:$C$20, 0))))</f>
        <v>2.3796624564459927</v>
      </c>
      <c r="U69" s="185"/>
      <c r="V69" s="131">
        <f>M69*C69^3/(3*$C$8*INDEX(profile_C!$M$6:$M$20, MATCH(E69, profile_C!$C$6:$C$20, 0)))</f>
        <v>5.8372916666666663</v>
      </c>
      <c r="W69" s="121">
        <v>1.5874999999999999</v>
      </c>
      <c r="X69" s="184">
        <f t="shared" si="68"/>
        <v>7.5</v>
      </c>
      <c r="Y69" s="190" t="str">
        <f t="shared" si="69"/>
        <v>O.K</v>
      </c>
      <c r="AA69" s="217" t="s">
        <v>222</v>
      </c>
      <c r="AB69" s="140"/>
    </row>
    <row r="70" spans="2:28" s="14" customFormat="1" ht="15" customHeight="1" x14ac:dyDescent="0.25">
      <c r="B70" s="103">
        <v>6</v>
      </c>
      <c r="C70" s="104">
        <v>1500</v>
      </c>
      <c r="D70" s="105" t="s">
        <v>197</v>
      </c>
      <c r="E70" s="106">
        <v>125</v>
      </c>
      <c r="F70" s="107">
        <v>600</v>
      </c>
      <c r="G70" s="104">
        <v>300</v>
      </c>
      <c r="H70" s="108">
        <v>400</v>
      </c>
      <c r="I70" s="109">
        <f t="shared" si="81"/>
        <v>3922.66</v>
      </c>
      <c r="J70" s="109">
        <f t="shared" si="82"/>
        <v>120</v>
      </c>
      <c r="K70" s="109">
        <f t="shared" si="83"/>
        <v>1176.798</v>
      </c>
      <c r="L70" s="109">
        <f t="shared" si="84"/>
        <v>80</v>
      </c>
      <c r="M70" s="109">
        <f t="shared" si="85"/>
        <v>784.53199999999993</v>
      </c>
      <c r="N70" s="109">
        <f t="shared" si="86"/>
        <v>1176798</v>
      </c>
      <c r="O70" s="109">
        <f t="shared" si="87"/>
        <v>1765197</v>
      </c>
      <c r="P70" s="109">
        <f t="shared" si="88"/>
        <v>2941995</v>
      </c>
      <c r="Q70" s="109">
        <f t="shared" si="89"/>
        <v>1176798</v>
      </c>
      <c r="R70" s="187"/>
      <c r="S70" s="158">
        <f>(I70*G70^3/(3*$C$8*INDEX(profile_C!$J$6:$J$20, MATCH(E70, profile_C!$C$6:$C$20, 0)))) + (I70*C70/($C$8* INDEX(profile_C!$H$6:$H$20, MATCH(E70, profile_C!$C$6:$C$20, 0))))  + (SIN(N70*C70/($C$8*INDEX(profile_C!$J$6:$J$20, MATCH(E70, profile_C!$C$6:$C$20, 0))))*G70)  + (SIN(K70*C70^2/(2*$C$8*INDEX(profile_C!$J$6:$J$20, MATCH(E70, profile_C!$C$6:$C$20, 0))))*G70)</f>
        <v>1.0968248959193254</v>
      </c>
      <c r="T70" s="158">
        <f>(N70*C70^2/(2*$C$8*INDEX(profile_C!$J$6:$J$20, MATCH(E70, profile_C!$C$6:$C$20, 0))))+ (K70*C70^3/(3*$C$8*INDEX(profile_C!$J$6:$J$20, MATCH(E70, profile_C!$C$6:$C$20, 0))))</f>
        <v>2.9737146226415097</v>
      </c>
      <c r="U70" s="185"/>
      <c r="V70" s="131">
        <f>M70*C70^3/(3*$C$8*INDEX(profile_C!$M$6:$M$20, MATCH(E70, profile_C!$C$6:$C$20, 0)))</f>
        <v>6.8007281553398045</v>
      </c>
      <c r="W70" s="121">
        <v>1.5874999999999999</v>
      </c>
      <c r="X70" s="184">
        <f t="shared" si="68"/>
        <v>7.5</v>
      </c>
      <c r="Y70" s="190" t="str">
        <f t="shared" si="69"/>
        <v>O.K</v>
      </c>
      <c r="AA70" s="217" t="s">
        <v>222</v>
      </c>
      <c r="AB70" s="140"/>
    </row>
    <row r="71" spans="2:28" s="30" customFormat="1" ht="15" customHeight="1" x14ac:dyDescent="0.25">
      <c r="B71" s="103">
        <v>7</v>
      </c>
      <c r="C71" s="104">
        <v>1500</v>
      </c>
      <c r="D71" s="105" t="s">
        <v>197</v>
      </c>
      <c r="E71" s="106">
        <v>100</v>
      </c>
      <c r="F71" s="107">
        <v>600</v>
      </c>
      <c r="G71" s="104">
        <v>300</v>
      </c>
      <c r="H71" s="108">
        <v>150</v>
      </c>
      <c r="I71" s="109">
        <f t="shared" si="81"/>
        <v>1470.9974999999999</v>
      </c>
      <c r="J71" s="109">
        <f t="shared" si="82"/>
        <v>45</v>
      </c>
      <c r="K71" s="109">
        <f t="shared" si="83"/>
        <v>441.29924999999997</v>
      </c>
      <c r="L71" s="109">
        <f t="shared" si="84"/>
        <v>30</v>
      </c>
      <c r="M71" s="109">
        <f t="shared" si="85"/>
        <v>294.1995</v>
      </c>
      <c r="N71" s="109">
        <f t="shared" si="86"/>
        <v>441299.25</v>
      </c>
      <c r="O71" s="109">
        <f t="shared" si="87"/>
        <v>661948.875</v>
      </c>
      <c r="P71" s="109">
        <f t="shared" si="88"/>
        <v>1103248.125</v>
      </c>
      <c r="Q71" s="109">
        <f t="shared" si="89"/>
        <v>441299.25</v>
      </c>
      <c r="R71" s="187"/>
      <c r="S71" s="158">
        <f>(I71*G71^3/(3*$C$8*INDEX(profile_C!$J$6:$J$20, MATCH(E71, profile_C!$C$6:$C$20, 0)))) + (I71*C71/($C$8* INDEX(profile_C!$H$6:$H$20, MATCH(E71, profile_C!$C$6:$C$20, 0))))  + (SIN(N71*C71/($C$8*INDEX(profile_C!$J$6:$J$20, MATCH(E71, profile_C!$C$6:$C$20, 0))))*G71)  + (SIN(K71*C71^2/(2*$C$8*INDEX(profile_C!$J$6:$J$20, MATCH(E71, profile_C!$C$6:$C$20, 0))))*G71)</f>
        <v>0.92259890830549585</v>
      </c>
      <c r="T71" s="158">
        <f>(N71*C71^2/(2*$C$8*INDEX(profile_C!$J$6:$J$20, MATCH(E71, profile_C!$C$6:$C$20, 0))))+ (K71*C71^3/(3*$C$8*INDEX(profile_C!$J$6:$J$20, MATCH(E71, profile_C!$C$6:$C$20, 0))))</f>
        <v>2.5150033244680849</v>
      </c>
      <c r="U71" s="185"/>
      <c r="V71" s="131">
        <f>M71*C71^3/(3*$C$8*INDEX(profile_C!$M$6:$M$20, MATCH(E71, profile_C!$C$6:$C$20, 0)))</f>
        <v>6.0618028846153846</v>
      </c>
      <c r="W71" s="121">
        <v>1.5874999999999999</v>
      </c>
      <c r="X71" s="184">
        <f t="shared" si="68"/>
        <v>7.5</v>
      </c>
      <c r="Y71" s="190" t="str">
        <f t="shared" si="69"/>
        <v>O.K</v>
      </c>
      <c r="AA71" s="217" t="s">
        <v>224</v>
      </c>
      <c r="AB71" s="138"/>
    </row>
    <row r="72" spans="2:28" s="30" customFormat="1" ht="15" customHeight="1" x14ac:dyDescent="0.25">
      <c r="B72" s="103">
        <v>8</v>
      </c>
      <c r="C72" s="104">
        <v>1000</v>
      </c>
      <c r="D72" s="105" t="s">
        <v>197</v>
      </c>
      <c r="E72" s="106">
        <v>150</v>
      </c>
      <c r="F72" s="107">
        <v>600</v>
      </c>
      <c r="G72" s="104">
        <v>300</v>
      </c>
      <c r="H72" s="108">
        <v>950</v>
      </c>
      <c r="I72" s="109">
        <f t="shared" ref="I72" si="90">H72*9.80665</f>
        <v>9316.3174999999992</v>
      </c>
      <c r="J72" s="109">
        <f t="shared" ref="J72" si="91">H72*$J$6</f>
        <v>285</v>
      </c>
      <c r="K72" s="109">
        <f t="shared" ref="K72" si="92">J72*9.80665</f>
        <v>2794.89525</v>
      </c>
      <c r="L72" s="109">
        <f t="shared" ref="L72" si="93">H72*$J$7</f>
        <v>190</v>
      </c>
      <c r="M72" s="109">
        <f t="shared" ref="M72" si="94">L72*9.80665</f>
        <v>1863.2634999999998</v>
      </c>
      <c r="N72" s="109">
        <f t="shared" ref="N72" si="95">I72*G72</f>
        <v>2794895.2499999995</v>
      </c>
      <c r="O72" s="109">
        <f t="shared" ref="O72" si="96">K72*C72</f>
        <v>2794895.25</v>
      </c>
      <c r="P72" s="109">
        <f t="shared" ref="P72" si="97">N72+O72</f>
        <v>5589790.5</v>
      </c>
      <c r="Q72" s="109">
        <f t="shared" ref="Q72" si="98">M72*C72</f>
        <v>1863263.4999999998</v>
      </c>
      <c r="R72" s="187"/>
      <c r="S72" s="158">
        <f>(I72*G72^3/(3*$C$8*INDEX(profile_C!$J$6:$J$20, MATCH(E72, profile_C!$C$6:$C$20, 0)))) + (I72*C72/($C$8* INDEX(profile_C!$H$6:$H$20, MATCH(E72, profile_C!$C$6:$C$20, 0))))  + (SIN(N72*C72/($C$8*INDEX(profile_C!$J$6:$J$20, MATCH(E72, profile_C!$C$6:$C$20, 0))))*G72)  + (SIN(K72*C72^2/(2*$C$8*INDEX(profile_C!$J$6:$J$20, MATCH(E72, profile_C!$C$6:$C$20, 0))))*G72)</f>
        <v>0.76067718910521376</v>
      </c>
      <c r="T72" s="158">
        <f>(N72*C72^2/(2*$C$8*INDEX(profile_C!$J$6:$J$20, MATCH(E72, profile_C!$C$6:$C$20, 0))))+ (K72*C72^3/(3*$C$8*INDEX(profile_C!$J$6:$J$20, MATCH(E72, profile_C!$C$6:$C$20, 0))))</f>
        <v>1.2881363724351527</v>
      </c>
      <c r="U72" s="185"/>
      <c r="V72" s="131">
        <f>M72*C72^3/(3*$C$8*INDEX(profile_C!$M$6:$M$20, MATCH(E72, profile_C!$C$6:$C$20, 0)))</f>
        <v>2.5278300094966757</v>
      </c>
      <c r="W72" s="121">
        <v>1.5874999999999999</v>
      </c>
      <c r="X72" s="184">
        <f t="shared" si="68"/>
        <v>5</v>
      </c>
      <c r="Y72" s="190" t="str">
        <f t="shared" si="69"/>
        <v>O.K</v>
      </c>
      <c r="AA72" s="217" t="s">
        <v>222</v>
      </c>
    </row>
    <row r="73" spans="2:28" s="30" customFormat="1" ht="15" customHeight="1" x14ac:dyDescent="0.25">
      <c r="B73" s="103">
        <v>9</v>
      </c>
      <c r="C73" s="104">
        <v>1000</v>
      </c>
      <c r="D73" s="105" t="s">
        <v>197</v>
      </c>
      <c r="E73" s="106">
        <v>125</v>
      </c>
      <c r="F73" s="107">
        <v>600</v>
      </c>
      <c r="G73" s="104">
        <v>300</v>
      </c>
      <c r="H73" s="108">
        <v>550</v>
      </c>
      <c r="I73" s="109">
        <f t="shared" ref="I73:I74" si="99">H73*9.80665</f>
        <v>5393.6574999999993</v>
      </c>
      <c r="J73" s="109">
        <f t="shared" ref="J73:J74" si="100">H73*$J$6</f>
        <v>165</v>
      </c>
      <c r="K73" s="109">
        <f t="shared" ref="K73:K74" si="101">J73*9.80665</f>
        <v>1618.0972499999998</v>
      </c>
      <c r="L73" s="109">
        <f t="shared" ref="L73:L74" si="102">H73*$J$7</f>
        <v>110</v>
      </c>
      <c r="M73" s="109">
        <f t="shared" ref="M73:M74" si="103">L73*9.80665</f>
        <v>1078.7314999999999</v>
      </c>
      <c r="N73" s="109">
        <f t="shared" ref="N73:N74" si="104">I73*G73</f>
        <v>1618097.2499999998</v>
      </c>
      <c r="O73" s="109">
        <f t="shared" ref="O73:O74" si="105">K73*C73</f>
        <v>1618097.2499999998</v>
      </c>
      <c r="P73" s="109">
        <f t="shared" ref="P73:P74" si="106">N73+O73</f>
        <v>3236194.4999999995</v>
      </c>
      <c r="Q73" s="109">
        <f t="shared" ref="Q73:Q74" si="107">M73*C73</f>
        <v>1078731.4999999998</v>
      </c>
      <c r="R73" s="187"/>
      <c r="S73" s="158">
        <f>(I73*G73^3/(3*$C$8*INDEX(profile_C!$J$6:$J$20, MATCH(E73, profile_C!$C$6:$C$20, 0)))) + (I73*C73/($C$8* INDEX(profile_C!$H$6:$H$20, MATCH(E73, profile_C!$C$6:$C$20, 0))))  + (SIN(N73*C73/($C$8*INDEX(profile_C!$J$6:$J$20, MATCH(E73, profile_C!$C$6:$C$20, 0))))*G73)  + (SIN(K73*C73^2/(2*$C$8*INDEX(profile_C!$J$6:$J$20, MATCH(E73, profile_C!$C$6:$C$20, 0))))*G73)</f>
        <v>0.88730043837992179</v>
      </c>
      <c r="T73" s="158">
        <f>(N73*C73^2/(2*$C$8*INDEX(profile_C!$J$6:$J$20, MATCH(E73, profile_C!$C$6:$C$20, 0))))+ (K73*C73^3/(3*$C$8*INDEX(profile_C!$J$6:$J$20, MATCH(E73, profile_C!$C$6:$C$20, 0))))</f>
        <v>1.5143917059748424</v>
      </c>
      <c r="U73" s="185"/>
      <c r="V73" s="131">
        <f>M73*C73^3/(3*$C$8*INDEX(profile_C!$M$6:$M$20, MATCH(E73, profile_C!$C$6:$C$20, 0)))</f>
        <v>2.7706670262495501</v>
      </c>
      <c r="W73" s="121">
        <v>1.5874999999999999</v>
      </c>
      <c r="X73" s="184">
        <f t="shared" si="68"/>
        <v>5</v>
      </c>
      <c r="Y73" s="190" t="str">
        <f t="shared" si="69"/>
        <v>O.K</v>
      </c>
      <c r="AA73" s="217" t="s">
        <v>222</v>
      </c>
      <c r="AB73" s="138"/>
    </row>
    <row r="74" spans="2:28" s="30" customFormat="1" ht="15" customHeight="1" x14ac:dyDescent="0.25">
      <c r="B74" s="103">
        <v>10</v>
      </c>
      <c r="C74" s="104">
        <v>1000</v>
      </c>
      <c r="D74" s="105" t="s">
        <v>197</v>
      </c>
      <c r="E74" s="106">
        <v>100</v>
      </c>
      <c r="F74" s="107">
        <v>600</v>
      </c>
      <c r="G74" s="104">
        <v>300</v>
      </c>
      <c r="H74" s="108">
        <v>300</v>
      </c>
      <c r="I74" s="109">
        <f t="shared" si="99"/>
        <v>2941.9949999999999</v>
      </c>
      <c r="J74" s="109">
        <f t="shared" si="100"/>
        <v>90</v>
      </c>
      <c r="K74" s="109">
        <f t="shared" si="101"/>
        <v>882.59849999999994</v>
      </c>
      <c r="L74" s="109">
        <f t="shared" si="102"/>
        <v>60</v>
      </c>
      <c r="M74" s="109">
        <f t="shared" si="103"/>
        <v>588.399</v>
      </c>
      <c r="N74" s="109">
        <f t="shared" si="104"/>
        <v>882598.5</v>
      </c>
      <c r="O74" s="109">
        <f t="shared" si="105"/>
        <v>882598.5</v>
      </c>
      <c r="P74" s="109">
        <f t="shared" si="106"/>
        <v>1765197</v>
      </c>
      <c r="Q74" s="109">
        <f t="shared" si="107"/>
        <v>588399</v>
      </c>
      <c r="R74" s="187"/>
      <c r="S74" s="158">
        <f>(I74*G74^3/(3*$C$8*INDEX(profile_C!$J$6:$J$20, MATCH(E74, profile_C!$C$6:$C$20, 0)))) + (I74*C74/($C$8* INDEX(profile_C!$H$6:$H$20, MATCH(E74, profile_C!$C$6:$C$20, 0))))  + (SIN(N74*C74/($C$8*INDEX(profile_C!$J$6:$J$20, MATCH(E74, profile_C!$C$6:$C$20, 0))))*G74)  + (SIN(K74*C74^2/(2*$C$8*INDEX(profile_C!$J$6:$J$20, MATCH(E74, profile_C!$C$6:$C$20, 0))))*G74)</f>
        <v>1.0848203928837838</v>
      </c>
      <c r="T74" s="158">
        <f>(N74*C74^2/(2*$C$8*INDEX(profile_C!$J$6:$J$20, MATCH(E74, profile_C!$C$6:$C$20, 0))))+ (K74*C74^3/(3*$C$8*INDEX(profile_C!$J$6:$J$20, MATCH(E74, profile_C!$C$6:$C$20, 0))))</f>
        <v>1.862965425531915</v>
      </c>
      <c r="U74" s="185"/>
      <c r="V74" s="131">
        <f>M74*C74^3/(3*$C$8*INDEX(profile_C!$M$6:$M$20, MATCH(E74, profile_C!$C$6:$C$20, 0)))</f>
        <v>3.5921794871794872</v>
      </c>
      <c r="W74" s="121">
        <v>1.5874999999999999</v>
      </c>
      <c r="X74" s="184">
        <f t="shared" si="68"/>
        <v>5</v>
      </c>
      <c r="Y74" s="190" t="str">
        <f t="shared" si="69"/>
        <v>O.K</v>
      </c>
      <c r="AA74" s="217" t="s">
        <v>222</v>
      </c>
      <c r="AB74" s="140"/>
    </row>
    <row r="75" spans="2:28" s="30" customFormat="1" ht="15" customHeight="1" x14ac:dyDescent="0.25">
      <c r="B75" s="103">
        <v>11</v>
      </c>
      <c r="C75" s="104">
        <v>500</v>
      </c>
      <c r="D75" s="105" t="s">
        <v>197</v>
      </c>
      <c r="E75" s="106">
        <v>150</v>
      </c>
      <c r="F75" s="107">
        <v>600</v>
      </c>
      <c r="G75" s="104">
        <v>300</v>
      </c>
      <c r="H75" s="108">
        <v>1600</v>
      </c>
      <c r="I75" s="109">
        <f t="shared" ref="I75" si="108">H75*9.80665</f>
        <v>15690.64</v>
      </c>
      <c r="J75" s="109">
        <f t="shared" ref="J75" si="109">H75*$J$6</f>
        <v>480</v>
      </c>
      <c r="K75" s="109">
        <f t="shared" ref="K75" si="110">J75*9.80665</f>
        <v>4707.192</v>
      </c>
      <c r="L75" s="109">
        <f t="shared" ref="L75" si="111">H75*$J$7</f>
        <v>320</v>
      </c>
      <c r="M75" s="109">
        <f t="shared" ref="M75" si="112">L75*9.80665</f>
        <v>3138.1279999999997</v>
      </c>
      <c r="N75" s="109">
        <f t="shared" ref="N75" si="113">I75*G75</f>
        <v>4707192</v>
      </c>
      <c r="O75" s="109">
        <f t="shared" ref="O75" si="114">K75*C75</f>
        <v>2353596</v>
      </c>
      <c r="P75" s="109">
        <f t="shared" ref="P75" si="115">N75+O75</f>
        <v>7060788</v>
      </c>
      <c r="Q75" s="109">
        <f t="shared" ref="Q75" si="116">M75*C75</f>
        <v>1569063.9999999998</v>
      </c>
      <c r="R75" s="187"/>
      <c r="S75" s="158">
        <f>(I75*G75^3/(3*$C$8*INDEX(profile_C!$J$6:$J$20, MATCH(E75, profile_C!$C$6:$C$20, 0)))) + (I75*C75/($C$8* INDEX(profile_C!$H$6:$H$20, MATCH(E75, profile_C!$C$6:$C$20, 0))))  + (SIN(N75*C75/($C$8*INDEX(profile_C!$J$6:$J$20, MATCH(E75, profile_C!$C$6:$C$20, 0))))*G75)  + (SIN(K75*C75^2/(2*$C$8*INDEX(profile_C!$J$6:$J$20, MATCH(E75, profile_C!$C$6:$C$20, 0))))*G75)</f>
        <v>0.58199402083758578</v>
      </c>
      <c r="T75" s="158">
        <f>(N75*C75^2/(2*$C$8*INDEX(profile_C!$J$6:$J$20, MATCH(E75, profile_C!$C$6:$C$20, 0))))+ (K75*C75^3/(3*$C$8*INDEX(profile_C!$J$6:$J$20, MATCH(E75, profile_C!$C$6:$C$20, 0))))</f>
        <v>0.43389856755710415</v>
      </c>
      <c r="U75" s="185"/>
      <c r="V75" s="131">
        <f>M75*C75^3/(3*$C$8*INDEX(profile_C!$M$6:$M$20, MATCH(E75, profile_C!$C$6:$C$20, 0)))</f>
        <v>0.53217473884140543</v>
      </c>
      <c r="W75" s="121">
        <v>1.5874999999999999</v>
      </c>
      <c r="X75" s="184">
        <f t="shared" si="68"/>
        <v>2.5</v>
      </c>
      <c r="Y75" s="190" t="str">
        <f t="shared" si="69"/>
        <v>O.K</v>
      </c>
      <c r="AA75" s="217" t="s">
        <v>222</v>
      </c>
      <c r="AB75" s="140"/>
    </row>
    <row r="76" spans="2:28" s="30" customFormat="1" ht="15" customHeight="1" x14ac:dyDescent="0.25">
      <c r="B76" s="103">
        <v>12</v>
      </c>
      <c r="C76" s="104">
        <v>500</v>
      </c>
      <c r="D76" s="105" t="s">
        <v>197</v>
      </c>
      <c r="E76" s="106">
        <v>125</v>
      </c>
      <c r="F76" s="107">
        <v>600</v>
      </c>
      <c r="G76" s="104">
        <v>300</v>
      </c>
      <c r="H76" s="108">
        <v>950</v>
      </c>
      <c r="I76" s="109">
        <f t="shared" ref="I76:I77" si="117">H76*9.80665</f>
        <v>9316.3174999999992</v>
      </c>
      <c r="J76" s="109">
        <f t="shared" ref="J76:J77" si="118">H76*$J$6</f>
        <v>285</v>
      </c>
      <c r="K76" s="109">
        <f t="shared" ref="K76:K77" si="119">J76*9.80665</f>
        <v>2794.89525</v>
      </c>
      <c r="L76" s="109">
        <f t="shared" ref="L76:L77" si="120">H76*$J$7</f>
        <v>190</v>
      </c>
      <c r="M76" s="109">
        <f t="shared" ref="M76:M77" si="121">L76*9.80665</f>
        <v>1863.2634999999998</v>
      </c>
      <c r="N76" s="109">
        <f t="shared" ref="N76:N77" si="122">I76*G76</f>
        <v>2794895.2499999995</v>
      </c>
      <c r="O76" s="109">
        <f t="shared" ref="O76:O77" si="123">K76*C76</f>
        <v>1397447.625</v>
      </c>
      <c r="P76" s="109">
        <f t="shared" ref="P76:P77" si="124">N76+O76</f>
        <v>4192342.8749999995</v>
      </c>
      <c r="Q76" s="109">
        <f t="shared" ref="Q76:Q77" si="125">M76*C76</f>
        <v>931631.74999999988</v>
      </c>
      <c r="R76" s="187"/>
      <c r="S76" s="158">
        <f>(I76*G76^3/(3*$C$8*INDEX(profile_C!$J$6:$J$20, MATCH(E76, profile_C!$C$6:$C$20, 0)))) + (I76*C76/($C$8* INDEX(profile_C!$H$6:$H$20, MATCH(E76, profile_C!$C$6:$C$20, 0))))  + (SIN(N76*C76/($C$8*INDEX(profile_C!$J$6:$J$20, MATCH(E76, profile_C!$C$6:$C$20, 0))))*G76)  + (SIN(K76*C76^2/(2*$C$8*INDEX(profile_C!$J$6:$J$20, MATCH(E76, profile_C!$C$6:$C$20, 0))))*G76)</f>
        <v>0.69567929700134679</v>
      </c>
      <c r="T76" s="158">
        <f>(N76*C76^2/(2*$C$8*INDEX(profile_C!$J$6:$J$20, MATCH(E76, profile_C!$C$6:$C$20, 0))))+ (K76*C76^3/(3*$C$8*INDEX(profile_C!$J$6:$J$20, MATCH(E76, profile_C!$C$6:$C$20, 0))))</f>
        <v>0.52315349842767289</v>
      </c>
      <c r="U76" s="185"/>
      <c r="V76" s="131">
        <f>M76*C76^3/(3*$C$8*INDEX(profile_C!$M$6:$M$20, MATCH(E76, profile_C!$C$6:$C$20, 0)))</f>
        <v>0.59821219884933474</v>
      </c>
      <c r="W76" s="121">
        <v>1.5874999999999999</v>
      </c>
      <c r="X76" s="184">
        <f t="shared" si="68"/>
        <v>2.5</v>
      </c>
      <c r="Y76" s="190" t="str">
        <f t="shared" si="69"/>
        <v>O.K</v>
      </c>
      <c r="AA76" s="217" t="s">
        <v>222</v>
      </c>
      <c r="AB76" s="140"/>
    </row>
    <row r="77" spans="2:28" s="30" customFormat="1" ht="15" customHeight="1" x14ac:dyDescent="0.25">
      <c r="B77" s="103">
        <v>13</v>
      </c>
      <c r="C77" s="104">
        <v>500</v>
      </c>
      <c r="D77" s="105" t="s">
        <v>197</v>
      </c>
      <c r="E77" s="106">
        <v>100</v>
      </c>
      <c r="F77" s="107">
        <v>600</v>
      </c>
      <c r="G77" s="104">
        <v>300</v>
      </c>
      <c r="H77" s="108">
        <v>500</v>
      </c>
      <c r="I77" s="109">
        <f t="shared" si="117"/>
        <v>4903.3249999999998</v>
      </c>
      <c r="J77" s="109">
        <f t="shared" si="118"/>
        <v>150</v>
      </c>
      <c r="K77" s="109">
        <f t="shared" si="119"/>
        <v>1470.9974999999999</v>
      </c>
      <c r="L77" s="109">
        <f t="shared" si="120"/>
        <v>100</v>
      </c>
      <c r="M77" s="109">
        <f t="shared" si="121"/>
        <v>980.66499999999996</v>
      </c>
      <c r="N77" s="109">
        <f t="shared" si="122"/>
        <v>1470997.5</v>
      </c>
      <c r="O77" s="109">
        <f t="shared" si="123"/>
        <v>735498.75</v>
      </c>
      <c r="P77" s="109">
        <f t="shared" si="124"/>
        <v>2206496.25</v>
      </c>
      <c r="Q77" s="109">
        <f t="shared" si="125"/>
        <v>490332.5</v>
      </c>
      <c r="R77" s="187"/>
      <c r="S77" s="158">
        <f>(I77*G77^3/(3*$C$8*INDEX(profile_C!$J$6:$J$20, MATCH(E77, profile_C!$C$6:$C$20, 0)))) + (I77*C77/($C$8* INDEX(profile_C!$H$6:$H$20, MATCH(E77, profile_C!$C$6:$C$20, 0))))  + (SIN(N77*C77/($C$8*INDEX(profile_C!$J$6:$J$20, MATCH(E77, profile_C!$C$6:$C$20, 0))))*G77)  + (SIN(K77*C77^2/(2*$C$8*INDEX(profile_C!$J$6:$J$20, MATCH(E77, profile_C!$C$6:$C$20, 0))))*G77)</f>
        <v>0.82018374530566751</v>
      </c>
      <c r="T77" s="158">
        <f>(N77*C77^2/(2*$C$8*INDEX(profile_C!$J$6:$J$20, MATCH(E77, profile_C!$C$6:$C$20, 0))))+ (K77*C77^3/(3*$C$8*INDEX(profile_C!$J$6:$J$20, MATCH(E77, profile_C!$C$6:$C$20, 0))))</f>
        <v>0.62098847517730493</v>
      </c>
      <c r="U77" s="185"/>
      <c r="V77" s="131">
        <f>M77*C77^3/(3*$C$8*INDEX(profile_C!$M$6:$M$20, MATCH(E77, profile_C!$C$6:$C$20, 0)))</f>
        <v>0.74837072649572645</v>
      </c>
      <c r="W77" s="121">
        <v>1.5874999999999999</v>
      </c>
      <c r="X77" s="184">
        <f t="shared" si="68"/>
        <v>2.5</v>
      </c>
      <c r="Y77" s="190" t="str">
        <f t="shared" si="69"/>
        <v>O.K</v>
      </c>
      <c r="AA77" s="217" t="s">
        <v>222</v>
      </c>
      <c r="AB77" s="140"/>
    </row>
    <row r="78" spans="2:28" s="30" customFormat="1" ht="15" customHeight="1" x14ac:dyDescent="0.25">
      <c r="B78" s="103"/>
      <c r="C78" s="104"/>
      <c r="D78" s="105"/>
      <c r="E78" s="106"/>
      <c r="F78" s="107"/>
      <c r="G78" s="104"/>
      <c r="H78" s="108"/>
      <c r="I78" s="109"/>
      <c r="J78" s="109"/>
      <c r="K78" s="109"/>
      <c r="L78" s="109"/>
      <c r="M78" s="109"/>
      <c r="N78" s="109"/>
      <c r="O78" s="109"/>
      <c r="P78" s="109"/>
      <c r="Q78" s="109"/>
      <c r="R78" s="187"/>
      <c r="S78" s="158"/>
      <c r="T78" s="158"/>
      <c r="U78" s="185"/>
      <c r="V78" s="131"/>
      <c r="W78" s="121"/>
      <c r="X78" s="184"/>
      <c r="Y78" s="190"/>
      <c r="AA78" s="217"/>
      <c r="AB78" s="140"/>
    </row>
    <row r="79" spans="2:28" s="30" customFormat="1" ht="15" customHeight="1" x14ac:dyDescent="0.25">
      <c r="B79" s="110"/>
      <c r="C79" s="108"/>
      <c r="D79" s="112"/>
      <c r="E79" s="113"/>
      <c r="F79" s="111"/>
      <c r="G79" s="108"/>
      <c r="H79" s="108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30"/>
      <c r="T79" s="130"/>
      <c r="U79" s="130"/>
      <c r="V79" s="131"/>
      <c r="W79" s="121"/>
      <c r="X79" s="121"/>
      <c r="Y79" s="122"/>
      <c r="AA79" s="142"/>
      <c r="AB79" s="140"/>
    </row>
    <row r="80" spans="2:28" s="30" customFormat="1" ht="15" customHeight="1" thickBot="1" x14ac:dyDescent="0.3">
      <c r="B80" s="159"/>
      <c r="C80" s="160"/>
      <c r="D80" s="161"/>
      <c r="E80" s="162"/>
      <c r="F80" s="163"/>
      <c r="G80" s="160"/>
      <c r="H80" s="160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5"/>
      <c r="T80" s="165"/>
      <c r="U80" s="165"/>
      <c r="V80" s="166"/>
      <c r="W80" s="167"/>
      <c r="X80" s="167"/>
      <c r="Y80" s="168"/>
      <c r="AA80" s="142"/>
      <c r="AB80" s="138"/>
    </row>
    <row r="81" spans="2:28" s="16" customFormat="1" ht="15" customHeight="1" x14ac:dyDescent="0.15">
      <c r="V81" s="114"/>
    </row>
    <row r="82" spans="2:28" s="12" customFormat="1" ht="15" customHeight="1" x14ac:dyDescent="0.15"/>
    <row r="83" spans="2:28" s="12" customFormat="1" ht="15" customHeight="1" thickBot="1" x14ac:dyDescent="0.2">
      <c r="B83" s="3" t="s">
        <v>183</v>
      </c>
    </row>
    <row r="84" spans="2:28" s="12" customFormat="1" ht="20.100000000000001" customHeight="1" thickBot="1" x14ac:dyDescent="0.2">
      <c r="B84" s="182" t="s">
        <v>229</v>
      </c>
      <c r="T84" s="102"/>
    </row>
    <row r="85" spans="2:28" s="11" customFormat="1" ht="15" customHeight="1" x14ac:dyDescent="0.15">
      <c r="B85" s="226" t="s">
        <v>16</v>
      </c>
      <c r="C85" s="222" t="s">
        <v>114</v>
      </c>
      <c r="D85" s="222" t="s">
        <v>17</v>
      </c>
      <c r="E85" s="222"/>
      <c r="F85" s="222" t="s">
        <v>139</v>
      </c>
      <c r="G85" s="222" t="s">
        <v>140</v>
      </c>
      <c r="H85" s="222" t="s">
        <v>115</v>
      </c>
      <c r="I85" s="222" t="s">
        <v>116</v>
      </c>
      <c r="J85" s="222" t="s">
        <v>117</v>
      </c>
      <c r="K85" s="222" t="s">
        <v>118</v>
      </c>
      <c r="L85" s="222" t="s">
        <v>120</v>
      </c>
      <c r="M85" s="222" t="s">
        <v>121</v>
      </c>
      <c r="N85" s="222" t="s">
        <v>127</v>
      </c>
      <c r="O85" s="222" t="s">
        <v>128</v>
      </c>
      <c r="P85" s="222" t="s">
        <v>129</v>
      </c>
      <c r="Q85" s="222" t="s">
        <v>130</v>
      </c>
      <c r="R85" s="222" t="s">
        <v>119</v>
      </c>
      <c r="S85" s="224" t="s">
        <v>147</v>
      </c>
      <c r="T85" s="224"/>
      <c r="U85" s="224" t="s">
        <v>149</v>
      </c>
      <c r="V85" s="225"/>
      <c r="W85" s="222" t="s">
        <v>156</v>
      </c>
      <c r="X85" s="222" t="s">
        <v>155</v>
      </c>
      <c r="Y85" s="220" t="s">
        <v>148</v>
      </c>
    </row>
    <row r="86" spans="2:28" s="11" customFormat="1" ht="50.1" customHeight="1" x14ac:dyDescent="0.15">
      <c r="B86" s="227"/>
      <c r="C86" s="223"/>
      <c r="D86" s="223"/>
      <c r="E86" s="223"/>
      <c r="F86" s="223"/>
      <c r="G86" s="223"/>
      <c r="H86" s="223"/>
      <c r="I86" s="223"/>
      <c r="J86" s="223"/>
      <c r="K86" s="223"/>
      <c r="L86" s="223"/>
      <c r="M86" s="223"/>
      <c r="N86" s="223"/>
      <c r="O86" s="223"/>
      <c r="P86" s="223"/>
      <c r="Q86" s="223"/>
      <c r="R86" s="223"/>
      <c r="S86" s="118" t="s">
        <v>157</v>
      </c>
      <c r="T86" s="118" t="s">
        <v>262</v>
      </c>
      <c r="U86" s="118" t="s">
        <v>158</v>
      </c>
      <c r="V86" s="119" t="s">
        <v>159</v>
      </c>
      <c r="W86" s="223"/>
      <c r="X86" s="223"/>
      <c r="Y86" s="221"/>
      <c r="AA86" s="138"/>
    </row>
    <row r="87" spans="2:28" s="14" customFormat="1" ht="15" customHeight="1" x14ac:dyDescent="0.25">
      <c r="B87" s="103">
        <v>1</v>
      </c>
      <c r="C87" s="104">
        <v>1000</v>
      </c>
      <c r="D87" s="105" t="s">
        <v>228</v>
      </c>
      <c r="E87" s="106">
        <v>75</v>
      </c>
      <c r="F87" s="107">
        <v>600</v>
      </c>
      <c r="G87" s="104">
        <v>300</v>
      </c>
      <c r="H87" s="108">
        <v>150</v>
      </c>
      <c r="I87" s="109">
        <f t="shared" ref="I87:I89" si="126">H87*9.80665</f>
        <v>1470.9974999999999</v>
      </c>
      <c r="J87" s="109">
        <f t="shared" ref="J87:J89" si="127">H87*$J$6</f>
        <v>45</v>
      </c>
      <c r="K87" s="109">
        <f t="shared" ref="K87:K89" si="128">J87*9.80665</f>
        <v>441.29924999999997</v>
      </c>
      <c r="L87" s="109">
        <f t="shared" ref="L87:L89" si="129">H87*$J$7</f>
        <v>30</v>
      </c>
      <c r="M87" s="109">
        <f t="shared" ref="M87:M89" si="130">L87*9.80665</f>
        <v>294.1995</v>
      </c>
      <c r="N87" s="109">
        <f t="shared" ref="N87:N89" si="131">I87*G87</f>
        <v>441299.25</v>
      </c>
      <c r="O87" s="109">
        <f t="shared" ref="O87:O89" si="132">K87*C87</f>
        <v>441299.25</v>
      </c>
      <c r="P87" s="109">
        <f t="shared" ref="P87:P89" si="133">N87+O87</f>
        <v>882598.5</v>
      </c>
      <c r="Q87" s="109">
        <f t="shared" ref="Q87:Q89" si="134">M87*C87</f>
        <v>294199.5</v>
      </c>
      <c r="R87" s="187"/>
      <c r="S87" s="158">
        <f>(I87*G87^3/(3*$C$8*INDEX(profile_L!$J$6:$J$20, MATCH(E87, profile_L!$C$6:$C$20, 0)))) + (I87*C87/($C$8* INDEX(profile_L!$H$6:$H$20, MATCH(E87, profile_L!$C$6:$C$20, 0))))  + (SIN(N87*C87/($C$8*INDEX(profile_L!$J$6:$J$20, MATCH(E87, profile_L!$C$6:$C$20, 0))))*G87)  + (SIN(K87*C87^2/(2*$C$8*INDEX(profile_L!$J$6:$J$20, MATCH(E87, profile_L!$C$6:$C$20, 0))))*G87)</f>
        <v>1.5717974462944808</v>
      </c>
      <c r="T87" s="158">
        <f>(N87*C87^2/(2*$C$8*INDEX(profile_L!$J$6:$J$20, MATCH(E87, profile_L!$C$6:$C$20, 0))))+ (K87*C87^3/(3*$C$8*INDEX(profile_L!$J$6:$J$20, MATCH(E87, profile_L!$C$6:$C$20, 0))))</f>
        <v>2.7192352484472049</v>
      </c>
      <c r="U87" s="185"/>
      <c r="V87" s="131">
        <f>M87*C87^3/(3*$C$8*INDEX(profile_L!$M$6:$M$20, MATCH(E87, profile_L!$C$6:$C$20, 0)))</f>
        <v>0.72512939958592137</v>
      </c>
      <c r="W87" s="121">
        <v>1.5874999999999999</v>
      </c>
      <c r="X87" s="184">
        <f t="shared" ref="X87:X89" si="135">C87/200</f>
        <v>5</v>
      </c>
      <c r="Y87" s="190" t="str">
        <f t="shared" ref="Y87:Y89" si="136">IF(S87&lt;=W87, IF(MAX(T87,V87)&lt;=X87,"O.K","N.G"),"NG")</f>
        <v>O.K</v>
      </c>
      <c r="AA87" s="140"/>
      <c r="AB87" s="140"/>
    </row>
    <row r="88" spans="2:28" s="14" customFormat="1" ht="15" customHeight="1" x14ac:dyDescent="0.25">
      <c r="B88" s="103">
        <v>2</v>
      </c>
      <c r="C88" s="104">
        <v>1000</v>
      </c>
      <c r="D88" s="105" t="s">
        <v>228</v>
      </c>
      <c r="E88" s="106">
        <v>65</v>
      </c>
      <c r="F88" s="107">
        <v>600</v>
      </c>
      <c r="G88" s="104">
        <v>300</v>
      </c>
      <c r="H88" s="108">
        <v>65</v>
      </c>
      <c r="I88" s="109">
        <f t="shared" si="126"/>
        <v>637.43224999999995</v>
      </c>
      <c r="J88" s="109">
        <f t="shared" si="127"/>
        <v>19.5</v>
      </c>
      <c r="K88" s="109">
        <f t="shared" si="128"/>
        <v>191.22967499999999</v>
      </c>
      <c r="L88" s="109">
        <f t="shared" si="129"/>
        <v>13</v>
      </c>
      <c r="M88" s="109">
        <f t="shared" si="130"/>
        <v>127.48644999999999</v>
      </c>
      <c r="N88" s="109">
        <f t="shared" si="131"/>
        <v>191229.67499999999</v>
      </c>
      <c r="O88" s="109">
        <f t="shared" si="132"/>
        <v>191229.67499999999</v>
      </c>
      <c r="P88" s="109">
        <f t="shared" si="133"/>
        <v>382459.35</v>
      </c>
      <c r="Q88" s="109">
        <f t="shared" si="134"/>
        <v>127486.45</v>
      </c>
      <c r="R88" s="187"/>
      <c r="S88" s="158">
        <f>(I88*G88^3/(3*$C$8*INDEX(profile_L!$J$6:$J$20, MATCH(E88, profile_L!$C$6:$C$20, 0)))) + (I88*C88/($C$8* INDEX(profile_L!$H$6:$H$20, MATCH(E88, profile_L!$C$6:$C$20, 0))))  + (SIN(N88*C88/($C$8*INDEX(profile_L!$J$6:$J$20, MATCH(E88, profile_L!$C$6:$C$20, 0))))*G88)  + (SIN(K88*C88^2/(2*$C$8*INDEX(profile_L!$J$6:$J$20, MATCH(E88, profile_L!$C$6:$C$20, 0))))*G88)</f>
        <v>1.4907534488214067</v>
      </c>
      <c r="T88" s="158">
        <f>(N88*C88^2/(2*$C$8*INDEX(profile_L!$J$6:$J$20, MATCH(E88, profile_L!$C$6:$C$20, 0))))+ (K88*C88^3/(3*$C$8*INDEX(profile_L!$J$6:$J$20, MATCH(E88, profile_L!$C$6:$C$20, 0))))</f>
        <v>2.5811153628117918</v>
      </c>
      <c r="U88" s="185"/>
      <c r="V88" s="131">
        <f>M88*C88^3/(3*$C$8*INDEX(profile_L!$M$6:$M$20, MATCH(E88, profile_L!$C$6:$C$20, 0)))</f>
        <v>0.68829743008314426</v>
      </c>
      <c r="W88" s="121">
        <v>1.5874999999999999</v>
      </c>
      <c r="X88" s="184">
        <f t="shared" si="135"/>
        <v>5</v>
      </c>
      <c r="Y88" s="190" t="str">
        <f t="shared" si="136"/>
        <v>O.K</v>
      </c>
      <c r="AA88" s="140"/>
      <c r="AB88" s="140"/>
    </row>
    <row r="89" spans="2:28" s="14" customFormat="1" ht="15" customHeight="1" x14ac:dyDescent="0.25">
      <c r="B89" s="103">
        <v>3</v>
      </c>
      <c r="C89" s="104">
        <v>500</v>
      </c>
      <c r="D89" s="105" t="s">
        <v>228</v>
      </c>
      <c r="E89" s="106">
        <v>75</v>
      </c>
      <c r="F89" s="107">
        <v>600</v>
      </c>
      <c r="G89" s="104">
        <v>300</v>
      </c>
      <c r="H89" s="108">
        <v>300</v>
      </c>
      <c r="I89" s="109">
        <f t="shared" si="126"/>
        <v>2941.9949999999999</v>
      </c>
      <c r="J89" s="109">
        <f t="shared" si="127"/>
        <v>90</v>
      </c>
      <c r="K89" s="109">
        <f t="shared" si="128"/>
        <v>882.59849999999994</v>
      </c>
      <c r="L89" s="109">
        <f t="shared" si="129"/>
        <v>60</v>
      </c>
      <c r="M89" s="109">
        <f t="shared" si="130"/>
        <v>588.399</v>
      </c>
      <c r="N89" s="109">
        <f t="shared" si="131"/>
        <v>882598.5</v>
      </c>
      <c r="O89" s="109">
        <f t="shared" si="132"/>
        <v>441299.25</v>
      </c>
      <c r="P89" s="109">
        <f t="shared" si="133"/>
        <v>1323897.75</v>
      </c>
      <c r="Q89" s="109">
        <f t="shared" si="134"/>
        <v>294199.5</v>
      </c>
      <c r="R89" s="187"/>
      <c r="S89" s="158">
        <f>(I89*G89^3/(3*$C$8*INDEX(profile_L!$J$6:$J$20, MATCH(E89, profile_L!$C$6:$C$20, 0)))) + (I89*C89/($C$8* INDEX(profile_L!$H$6:$H$20, MATCH(E89, profile_L!$C$6:$C$20, 0))))  + (SIN(N89*C89/($C$8*INDEX(profile_L!$J$6:$J$20, MATCH(E89, profile_L!$C$6:$C$20, 0))))*G89)  + (SIN(K89*C89^2/(2*$C$8*INDEX(profile_L!$J$6:$J$20, MATCH(E89, profile_L!$C$6:$C$20, 0))))*G89)</f>
        <v>1.4249589328864198</v>
      </c>
      <c r="T89" s="158">
        <f>(N89*C89^2/(2*$C$8*INDEX(profile_L!$J$6:$J$20, MATCH(E89, profile_L!$C$6:$C$20, 0))))+ (K89*C89^3/(3*$C$8*INDEX(profile_L!$J$6:$J$20, MATCH(E89, profile_L!$C$6:$C$20, 0))))</f>
        <v>1.087694099378882</v>
      </c>
      <c r="U89" s="185"/>
      <c r="V89" s="131">
        <f>M89*C89^3/(3*$C$8*INDEX(profile_L!$M$6:$M$20, MATCH(E89, profile_L!$C$6:$C$20, 0)))</f>
        <v>0.18128234989648034</v>
      </c>
      <c r="W89" s="121">
        <v>1.5874999999999999</v>
      </c>
      <c r="X89" s="184">
        <f t="shared" si="135"/>
        <v>2.5</v>
      </c>
      <c r="Y89" s="190" t="str">
        <f t="shared" si="136"/>
        <v>O.K</v>
      </c>
      <c r="AA89" s="140"/>
      <c r="AB89" s="140"/>
    </row>
    <row r="90" spans="2:28" s="30" customFormat="1" ht="15" customHeight="1" x14ac:dyDescent="0.25">
      <c r="B90" s="103">
        <v>4</v>
      </c>
      <c r="C90" s="104">
        <v>500</v>
      </c>
      <c r="D90" s="105" t="s">
        <v>228</v>
      </c>
      <c r="E90" s="106">
        <v>65</v>
      </c>
      <c r="F90" s="107">
        <v>600</v>
      </c>
      <c r="G90" s="104">
        <v>300</v>
      </c>
      <c r="H90" s="108">
        <v>150</v>
      </c>
      <c r="I90" s="109">
        <f t="shared" ref="I90:I91" si="137">H90*9.80665</f>
        <v>1470.9974999999999</v>
      </c>
      <c r="J90" s="109">
        <f t="shared" ref="J90:J91" si="138">H90*$J$6</f>
        <v>45</v>
      </c>
      <c r="K90" s="109">
        <f t="shared" ref="K90:K91" si="139">J90*9.80665</f>
        <v>441.29924999999997</v>
      </c>
      <c r="L90" s="109">
        <f t="shared" ref="L90:L91" si="140">H90*$J$7</f>
        <v>30</v>
      </c>
      <c r="M90" s="109">
        <f t="shared" ref="M90:M91" si="141">L90*9.80665</f>
        <v>294.1995</v>
      </c>
      <c r="N90" s="109">
        <f t="shared" ref="N90:N91" si="142">I90*G90</f>
        <v>441299.25</v>
      </c>
      <c r="O90" s="109">
        <f t="shared" ref="O90:O91" si="143">K90*C90</f>
        <v>220649.625</v>
      </c>
      <c r="P90" s="109">
        <f t="shared" ref="P90:P91" si="144">N90+O90</f>
        <v>661948.875</v>
      </c>
      <c r="Q90" s="109">
        <f t="shared" ref="Q90:Q91" si="145">M90*C90</f>
        <v>147099.75</v>
      </c>
      <c r="R90" s="187"/>
      <c r="S90" s="158">
        <f>(I90*G90^3/(3*$C$8*INDEX(profile_L!$J$6:$J$20, MATCH(E90, profile_L!$C$6:$C$20, 0)))) + (I90*C90/($C$8* INDEX(profile_L!$H$6:$H$20, MATCH(E90, profile_L!$C$6:$C$20, 0))))  + (SIN(N90*C90/($C$8*INDEX(profile_L!$J$6:$J$20, MATCH(E90, profile_L!$C$6:$C$20, 0))))*G90)  + (SIN(K90*C90^2/(2*$C$8*INDEX(profile_L!$J$6:$J$20, MATCH(E90, profile_L!$C$6:$C$20, 0))))*G90)</f>
        <v>1.5592764019956498</v>
      </c>
      <c r="T90" s="158">
        <f>(N90*C90^2/(2*$C$8*INDEX(profile_L!$J$6:$J$20, MATCH(E90, profile_L!$C$6:$C$20, 0))))+ (K90*C90^3/(3*$C$8*INDEX(profile_L!$J$6:$J$20, MATCH(E90, profile_L!$C$6:$C$20, 0))))</f>
        <v>1.1912840136054421</v>
      </c>
      <c r="U90" s="185"/>
      <c r="V90" s="131">
        <f>M90*C90^3/(3*$C$8*INDEX(profile_L!$M$6:$M$20, MATCH(E90, profile_L!$C$6:$C$20, 0)))</f>
        <v>0.19854733560090704</v>
      </c>
      <c r="W90" s="121">
        <v>1.5874999999999999</v>
      </c>
      <c r="X90" s="184">
        <f t="shared" ref="X90:X91" si="146">C90/200</f>
        <v>2.5</v>
      </c>
      <c r="Y90" s="190" t="str">
        <f t="shared" ref="Y90:Y91" si="147">IF(S90&lt;=W90, IF(MAX(T90,V90)&lt;=X90,"O.K","N.G"),"NG")</f>
        <v>O.K</v>
      </c>
      <c r="AA90" s="189"/>
      <c r="AB90" s="140"/>
    </row>
    <row r="91" spans="2:28" s="30" customFormat="1" ht="15" customHeight="1" x14ac:dyDescent="0.25">
      <c r="B91" s="103">
        <v>5</v>
      </c>
      <c r="C91" s="104">
        <v>500</v>
      </c>
      <c r="D91" s="105" t="s">
        <v>228</v>
      </c>
      <c r="E91" s="106">
        <v>50</v>
      </c>
      <c r="F91" s="107">
        <v>600</v>
      </c>
      <c r="G91" s="104">
        <v>300</v>
      </c>
      <c r="H91" s="108">
        <v>65</v>
      </c>
      <c r="I91" s="109">
        <f t="shared" si="137"/>
        <v>637.43224999999995</v>
      </c>
      <c r="J91" s="109">
        <f t="shared" si="138"/>
        <v>19.5</v>
      </c>
      <c r="K91" s="109">
        <f t="shared" si="139"/>
        <v>191.22967499999999</v>
      </c>
      <c r="L91" s="109">
        <f t="shared" si="140"/>
        <v>13</v>
      </c>
      <c r="M91" s="109">
        <f t="shared" si="141"/>
        <v>127.48644999999999</v>
      </c>
      <c r="N91" s="109">
        <f t="shared" si="142"/>
        <v>191229.67499999999</v>
      </c>
      <c r="O91" s="109">
        <f t="shared" si="143"/>
        <v>95614.837499999994</v>
      </c>
      <c r="P91" s="109">
        <f t="shared" si="144"/>
        <v>286844.51249999995</v>
      </c>
      <c r="Q91" s="109">
        <f t="shared" si="145"/>
        <v>63743.224999999999</v>
      </c>
      <c r="R91" s="187"/>
      <c r="S91" s="158">
        <f>(I91*G91^3/(3*$C$8*INDEX(profile_L!$J$6:$J$20, MATCH(E91, profile_L!$C$6:$C$20, 0)))) + (I91*C91/($C$8* INDEX(profile_L!$H$6:$H$20, MATCH(E91, profile_L!$C$6:$C$20, 0))))  + (SIN(N91*C91/($C$8*INDEX(profile_L!$J$6:$J$20, MATCH(E91, profile_L!$C$6:$C$20, 0))))*G91)  + (SIN(K91*C91^2/(2*$C$8*INDEX(profile_L!$J$6:$J$20, MATCH(E91, profile_L!$C$6:$C$20, 0))))*G91)</f>
        <v>1.57458590276388</v>
      </c>
      <c r="T91" s="158">
        <f>(N91*C91^2/(2*$C$8*INDEX(profile_L!$J$6:$J$20, MATCH(E91, profile_L!$C$6:$C$20, 0))))+ (K91*C91^3/(3*$C$8*INDEX(profile_L!$J$6:$J$20, MATCH(E91, profile_L!$C$6:$C$20, 0))))</f>
        <v>1.2045205026455026</v>
      </c>
      <c r="U91" s="185"/>
      <c r="V91" s="131">
        <f>M91*C91^3/(3*$C$8*INDEX(profile_L!$M$6:$M$20, MATCH(E91, profile_L!$C$6:$C$20, 0)))</f>
        <v>0.20075341710758374</v>
      </c>
      <c r="W91" s="121">
        <v>1.5874999999999999</v>
      </c>
      <c r="X91" s="184">
        <f t="shared" si="146"/>
        <v>2.5</v>
      </c>
      <c r="Y91" s="190" t="str">
        <f t="shared" si="147"/>
        <v>O.K</v>
      </c>
      <c r="AA91" s="140"/>
      <c r="AB91" s="140"/>
    </row>
    <row r="92" spans="2:28" s="14" customFormat="1" ht="15" customHeight="1" x14ac:dyDescent="0.25">
      <c r="B92" s="103"/>
      <c r="C92" s="104"/>
      <c r="D92" s="105"/>
      <c r="E92" s="106"/>
      <c r="F92" s="107"/>
      <c r="G92" s="104"/>
      <c r="H92" s="108"/>
      <c r="I92" s="109"/>
      <c r="J92" s="109"/>
      <c r="K92" s="109"/>
      <c r="L92" s="109"/>
      <c r="M92" s="109"/>
      <c r="N92" s="109"/>
      <c r="O92" s="109"/>
      <c r="P92" s="109"/>
      <c r="Q92" s="109"/>
      <c r="R92" s="187"/>
      <c r="S92" s="158"/>
      <c r="T92" s="158"/>
      <c r="U92" s="185"/>
      <c r="V92" s="131"/>
      <c r="W92" s="121"/>
      <c r="X92" s="184"/>
      <c r="Y92" s="190"/>
      <c r="AA92" s="140"/>
      <c r="AB92" s="140"/>
    </row>
    <row r="93" spans="2:28" s="30" customFormat="1" ht="15" customHeight="1" x14ac:dyDescent="0.25">
      <c r="B93" s="103"/>
      <c r="C93" s="104"/>
      <c r="D93" s="105"/>
      <c r="E93" s="106"/>
      <c r="F93" s="107"/>
      <c r="G93" s="104"/>
      <c r="H93" s="108"/>
      <c r="I93" s="109"/>
      <c r="J93" s="109"/>
      <c r="K93" s="109"/>
      <c r="L93" s="109"/>
      <c r="M93" s="109"/>
      <c r="N93" s="109"/>
      <c r="O93" s="109"/>
      <c r="P93" s="109"/>
      <c r="Q93" s="109"/>
      <c r="R93" s="187"/>
      <c r="S93" s="158"/>
      <c r="T93" s="158"/>
      <c r="U93" s="185"/>
      <c r="V93" s="131"/>
      <c r="W93" s="121"/>
      <c r="X93" s="184"/>
      <c r="Y93" s="190"/>
      <c r="AA93" s="138"/>
      <c r="AB93" s="138"/>
    </row>
    <row r="94" spans="2:28" s="30" customFormat="1" ht="15" customHeight="1" x14ac:dyDescent="0.25">
      <c r="B94" s="103"/>
      <c r="C94" s="104"/>
      <c r="D94" s="105"/>
      <c r="E94" s="106"/>
      <c r="F94" s="107"/>
      <c r="G94" s="104"/>
      <c r="H94" s="108"/>
      <c r="I94" s="109"/>
      <c r="J94" s="109"/>
      <c r="K94" s="109"/>
      <c r="L94" s="109"/>
      <c r="M94" s="109"/>
      <c r="N94" s="109"/>
      <c r="O94" s="109"/>
      <c r="P94" s="109"/>
      <c r="Q94" s="109"/>
      <c r="R94" s="187"/>
      <c r="S94" s="158"/>
      <c r="T94" s="158"/>
      <c r="U94" s="185"/>
      <c r="V94" s="131"/>
      <c r="W94" s="121"/>
      <c r="X94" s="184"/>
      <c r="Y94" s="190"/>
    </row>
    <row r="95" spans="2:28" s="30" customFormat="1" ht="15" customHeight="1" x14ac:dyDescent="0.25">
      <c r="B95" s="103"/>
      <c r="C95" s="104"/>
      <c r="D95" s="105"/>
      <c r="E95" s="106"/>
      <c r="F95" s="107"/>
      <c r="G95" s="104"/>
      <c r="H95" s="108"/>
      <c r="I95" s="109"/>
      <c r="J95" s="109"/>
      <c r="K95" s="109"/>
      <c r="L95" s="109"/>
      <c r="M95" s="109"/>
      <c r="N95" s="109"/>
      <c r="O95" s="109"/>
      <c r="P95" s="109"/>
      <c r="Q95" s="109"/>
      <c r="R95" s="187"/>
      <c r="S95" s="158"/>
      <c r="T95" s="158"/>
      <c r="U95" s="185"/>
      <c r="V95" s="131"/>
      <c r="W95" s="121"/>
      <c r="X95" s="184"/>
      <c r="Y95" s="190"/>
      <c r="AA95" s="138"/>
      <c r="AB95" s="138"/>
    </row>
    <row r="96" spans="2:28" s="30" customFormat="1" ht="15" customHeight="1" x14ac:dyDescent="0.25">
      <c r="B96" s="103"/>
      <c r="C96" s="104"/>
      <c r="D96" s="105"/>
      <c r="E96" s="106"/>
      <c r="F96" s="107"/>
      <c r="G96" s="104"/>
      <c r="H96" s="108"/>
      <c r="I96" s="109"/>
      <c r="J96" s="109"/>
      <c r="K96" s="109"/>
      <c r="L96" s="109"/>
      <c r="M96" s="109"/>
      <c r="N96" s="109"/>
      <c r="O96" s="109"/>
      <c r="P96" s="109"/>
      <c r="Q96" s="109"/>
      <c r="R96" s="187"/>
      <c r="S96" s="158"/>
      <c r="T96" s="158"/>
      <c r="U96" s="185"/>
      <c r="V96" s="131"/>
      <c r="W96" s="121"/>
      <c r="X96" s="184"/>
      <c r="Y96" s="190"/>
      <c r="AA96" s="140"/>
      <c r="AB96" s="140"/>
    </row>
    <row r="97" spans="2:28" s="30" customFormat="1" ht="15" customHeight="1" x14ac:dyDescent="0.25">
      <c r="B97" s="103"/>
      <c r="C97" s="104"/>
      <c r="D97" s="105"/>
      <c r="E97" s="106"/>
      <c r="F97" s="107"/>
      <c r="G97" s="104"/>
      <c r="H97" s="108"/>
      <c r="I97" s="109"/>
      <c r="J97" s="109"/>
      <c r="K97" s="109"/>
      <c r="L97" s="109"/>
      <c r="M97" s="109"/>
      <c r="N97" s="109"/>
      <c r="O97" s="109"/>
      <c r="P97" s="109"/>
      <c r="Q97" s="109"/>
      <c r="R97" s="187"/>
      <c r="S97" s="158"/>
      <c r="T97" s="158"/>
      <c r="U97" s="185"/>
      <c r="V97" s="131"/>
      <c r="W97" s="121"/>
      <c r="X97" s="184"/>
      <c r="Y97" s="190"/>
      <c r="AA97" s="140"/>
      <c r="AB97" s="140"/>
    </row>
    <row r="98" spans="2:28" s="30" customFormat="1" ht="15" customHeight="1" x14ac:dyDescent="0.25">
      <c r="B98" s="103"/>
      <c r="C98" s="104"/>
      <c r="D98" s="105"/>
      <c r="E98" s="106"/>
      <c r="F98" s="107"/>
      <c r="G98" s="104"/>
      <c r="H98" s="108"/>
      <c r="I98" s="109"/>
      <c r="J98" s="109"/>
      <c r="K98" s="109"/>
      <c r="L98" s="109"/>
      <c r="M98" s="109"/>
      <c r="N98" s="109"/>
      <c r="O98" s="109"/>
      <c r="P98" s="109"/>
      <c r="Q98" s="109"/>
      <c r="R98" s="187"/>
      <c r="S98" s="158"/>
      <c r="T98" s="158"/>
      <c r="U98" s="185"/>
      <c r="V98" s="131"/>
      <c r="W98" s="121"/>
      <c r="X98" s="184"/>
      <c r="Y98" s="190"/>
      <c r="AA98" s="140"/>
      <c r="AB98" s="140"/>
    </row>
    <row r="99" spans="2:28" s="30" customFormat="1" ht="15" customHeight="1" x14ac:dyDescent="0.25">
      <c r="B99" s="103"/>
      <c r="C99" s="104"/>
      <c r="D99" s="105"/>
      <c r="E99" s="106"/>
      <c r="F99" s="107"/>
      <c r="G99" s="104"/>
      <c r="H99" s="108"/>
      <c r="I99" s="109"/>
      <c r="J99" s="109"/>
      <c r="K99" s="109"/>
      <c r="L99" s="109"/>
      <c r="M99" s="109"/>
      <c r="N99" s="109"/>
      <c r="O99" s="109"/>
      <c r="P99" s="109"/>
      <c r="Q99" s="109"/>
      <c r="R99" s="187"/>
      <c r="S99" s="158"/>
      <c r="T99" s="158"/>
      <c r="U99" s="185"/>
      <c r="V99" s="131"/>
      <c r="W99" s="121"/>
      <c r="X99" s="184"/>
      <c r="Y99" s="190"/>
      <c r="AA99" s="140"/>
      <c r="AB99" s="140"/>
    </row>
    <row r="100" spans="2:28" s="30" customFormat="1" ht="15" customHeight="1" thickBot="1" x14ac:dyDescent="0.3">
      <c r="B100" s="159"/>
      <c r="C100" s="160"/>
      <c r="D100" s="161"/>
      <c r="E100" s="162"/>
      <c r="F100" s="163"/>
      <c r="G100" s="160"/>
      <c r="H100" s="160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5"/>
      <c r="T100" s="165"/>
      <c r="U100" s="165"/>
      <c r="V100" s="166"/>
      <c r="W100" s="167"/>
      <c r="X100" s="167"/>
      <c r="Y100" s="168"/>
      <c r="AA100" s="142"/>
      <c r="AB100" s="138"/>
    </row>
    <row r="101" spans="2:28" s="12" customFormat="1" ht="15" customHeight="1" x14ac:dyDescent="0.15"/>
    <row r="102" spans="2:28" s="12" customFormat="1" ht="15" customHeight="1" x14ac:dyDescent="0.15"/>
    <row r="103" spans="2:28" ht="15" customHeight="1" x14ac:dyDescent="0.2">
      <c r="N103" s="177"/>
      <c r="Q103" s="177"/>
    </row>
  </sheetData>
  <mergeCells count="66">
    <mergeCell ref="Y63:Y64"/>
    <mergeCell ref="R63:R64"/>
    <mergeCell ref="S63:T63"/>
    <mergeCell ref="U63:V63"/>
    <mergeCell ref="W63:W64"/>
    <mergeCell ref="X63:X64"/>
    <mergeCell ref="M63:M64"/>
    <mergeCell ref="N63:N64"/>
    <mergeCell ref="O63:O64"/>
    <mergeCell ref="P63:P64"/>
    <mergeCell ref="Q63:Q64"/>
    <mergeCell ref="H63:H64"/>
    <mergeCell ref="I63:I64"/>
    <mergeCell ref="J63:J64"/>
    <mergeCell ref="K63:K64"/>
    <mergeCell ref="L63:L64"/>
    <mergeCell ref="B63:B64"/>
    <mergeCell ref="C63:C64"/>
    <mergeCell ref="D63:E64"/>
    <mergeCell ref="F63:F64"/>
    <mergeCell ref="G63:G64"/>
    <mergeCell ref="W40:W41"/>
    <mergeCell ref="X40:X41"/>
    <mergeCell ref="Y40:Y41"/>
    <mergeCell ref="A1:Y2"/>
    <mergeCell ref="Q40:Q41"/>
    <mergeCell ref="R40:R41"/>
    <mergeCell ref="S40:T40"/>
    <mergeCell ref="U40:V40"/>
    <mergeCell ref="L40:L41"/>
    <mergeCell ref="M40:M41"/>
    <mergeCell ref="N40:N41"/>
    <mergeCell ref="O40:O41"/>
    <mergeCell ref="P40:P41"/>
    <mergeCell ref="G40:G41"/>
    <mergeCell ref="H40:H41"/>
    <mergeCell ref="I40:I41"/>
    <mergeCell ref="G6:I6"/>
    <mergeCell ref="G7:I7"/>
    <mergeCell ref="J40:J41"/>
    <mergeCell ref="K40:K41"/>
    <mergeCell ref="B40:B41"/>
    <mergeCell ref="C40:C41"/>
    <mergeCell ref="D40:E41"/>
    <mergeCell ref="F40:F41"/>
    <mergeCell ref="B85:B86"/>
    <mergeCell ref="C85:C86"/>
    <mergeCell ref="D85:E86"/>
    <mergeCell ref="F85:F86"/>
    <mergeCell ref="G85:G86"/>
    <mergeCell ref="H85:H86"/>
    <mergeCell ref="I85:I86"/>
    <mergeCell ref="J85:J86"/>
    <mergeCell ref="K85:K86"/>
    <mergeCell ref="L85:L86"/>
    <mergeCell ref="M85:M86"/>
    <mergeCell ref="N85:N86"/>
    <mergeCell ref="O85:O86"/>
    <mergeCell ref="P85:P86"/>
    <mergeCell ref="Q85:Q86"/>
    <mergeCell ref="Y85:Y86"/>
    <mergeCell ref="R85:R86"/>
    <mergeCell ref="S85:T85"/>
    <mergeCell ref="U85:V85"/>
    <mergeCell ref="W85:W86"/>
    <mergeCell ref="X85:X86"/>
  </mergeCells>
  <phoneticPr fontId="1" type="noConversion"/>
  <printOptions horizontalCentered="1"/>
  <pageMargins left="0.39370078740157483" right="0.15748031496062989" top="0.27559055118110237" bottom="0.59055118110236227" header="0.15748031496062989" footer="0.15748031496062989"/>
  <pageSetup paperSize="9" orientation="landscape" horizontalDpi="4294967292" verticalDpi="0" r:id="rId1"/>
  <headerFooter alignWithMargins="0">
    <oddFooter>&amp;L&amp;6 &amp;A&amp;C&amp;6 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BD288"/>
  <sheetViews>
    <sheetView showGridLines="0" zoomScale="85" zoomScaleNormal="85" workbookViewId="0">
      <selection activeCell="B9" sqref="B9:E9"/>
    </sheetView>
  </sheetViews>
  <sheetFormatPr defaultRowHeight="15" customHeight="1" x14ac:dyDescent="0.2"/>
  <cols>
    <col min="1" max="1" width="0.88671875" style="24" customWidth="1"/>
    <col min="2" max="2" width="2.77734375" style="26" customWidth="1"/>
    <col min="3" max="3" width="4.33203125" style="27" customWidth="1"/>
    <col min="4" max="4" width="3.33203125" style="28" customWidth="1"/>
    <col min="5" max="5" width="3.77734375" style="28" customWidth="1"/>
    <col min="6" max="24" width="4.33203125" style="24" customWidth="1"/>
    <col min="25" max="25" width="5.77734375" style="24" customWidth="1"/>
    <col min="26" max="56" width="4.33203125" style="24" customWidth="1"/>
    <col min="57" max="58" width="5.77734375" style="24" customWidth="1"/>
    <col min="59" max="16384" width="8.88671875" style="24"/>
  </cols>
  <sheetData>
    <row r="1" spans="2:56" s="11" customFormat="1" ht="15" customHeight="1" x14ac:dyDescent="0.15">
      <c r="B1" s="230" t="s">
        <v>161</v>
      </c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Y1" s="10"/>
      <c r="AZ1" s="209"/>
      <c r="BA1" s="209"/>
      <c r="BB1" s="209"/>
      <c r="BC1" s="209"/>
      <c r="BD1" s="209"/>
    </row>
    <row r="2" spans="2:56" s="11" customFormat="1" ht="15" customHeight="1" x14ac:dyDescent="0.15"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Y2" s="10"/>
      <c r="AZ2" s="209"/>
      <c r="BA2" s="209"/>
      <c r="BB2" s="209"/>
      <c r="BC2" s="209"/>
      <c r="BD2" s="209"/>
    </row>
    <row r="3" spans="2:56" s="14" customFormat="1" ht="15" customHeight="1" x14ac:dyDescent="0.25">
      <c r="B3" s="13"/>
      <c r="D3" s="15"/>
      <c r="E3" s="15"/>
    </row>
    <row r="4" spans="2:56" s="14" customFormat="1" ht="15" customHeight="1" x14ac:dyDescent="0.25">
      <c r="B4" s="143" t="s">
        <v>177</v>
      </c>
      <c r="D4" s="15"/>
      <c r="E4" s="15"/>
    </row>
    <row r="5" spans="2:56" s="14" customFormat="1" ht="15" customHeight="1" x14ac:dyDescent="0.25">
      <c r="B5" s="3" t="s">
        <v>182</v>
      </c>
      <c r="D5" s="15"/>
      <c r="E5" s="15"/>
    </row>
    <row r="6" spans="2:56" s="30" customFormat="1" ht="11.1" customHeight="1" x14ac:dyDescent="0.15">
      <c r="B6" s="49"/>
      <c r="C6" s="235" t="s">
        <v>0</v>
      </c>
      <c r="D6" s="90" t="s">
        <v>111</v>
      </c>
      <c r="E6" s="91"/>
      <c r="F6" s="91"/>
      <c r="G6" s="91"/>
      <c r="H6" s="91"/>
      <c r="I6" s="46"/>
      <c r="J6" s="46"/>
      <c r="K6" s="46"/>
      <c r="L6" s="46"/>
      <c r="M6" s="46"/>
      <c r="N6" s="47"/>
      <c r="O6" s="48"/>
      <c r="P6" s="46"/>
      <c r="Q6" s="46"/>
      <c r="R6" s="46"/>
      <c r="S6" s="46"/>
      <c r="T6" s="46" t="s">
        <v>1</v>
      </c>
      <c r="U6" s="46" t="s">
        <v>2</v>
      </c>
      <c r="V6" s="46" t="s">
        <v>3</v>
      </c>
      <c r="W6" s="46" t="s">
        <v>4</v>
      </c>
      <c r="X6" s="46" t="s">
        <v>1</v>
      </c>
      <c r="Y6" s="46" t="s">
        <v>5</v>
      </c>
      <c r="Z6" s="46" t="s">
        <v>3</v>
      </c>
      <c r="AA6" s="46"/>
      <c r="AB6" s="46"/>
      <c r="AC6" s="46"/>
      <c r="AD6" s="46"/>
      <c r="AE6" s="46" t="s">
        <v>206</v>
      </c>
      <c r="AF6" s="46"/>
      <c r="AG6" s="46"/>
      <c r="AH6" s="46"/>
      <c r="AI6" s="46"/>
      <c r="AJ6" s="46" t="s">
        <v>6</v>
      </c>
      <c r="AK6" s="46" t="s">
        <v>7</v>
      </c>
      <c r="AL6" s="46" t="s">
        <v>8</v>
      </c>
      <c r="AM6" s="46"/>
      <c r="AN6" s="46"/>
      <c r="AO6" s="46" t="s">
        <v>6</v>
      </c>
      <c r="AP6" s="46" t="s">
        <v>7</v>
      </c>
      <c r="AQ6" s="46" t="s">
        <v>8</v>
      </c>
      <c r="AR6" s="46"/>
      <c r="AS6" s="46"/>
      <c r="AT6" s="46"/>
      <c r="AU6" s="46"/>
      <c r="AV6" s="46"/>
      <c r="AW6" s="46"/>
      <c r="AX6" s="50"/>
      <c r="AY6" s="210"/>
      <c r="AZ6" s="210"/>
      <c r="BA6" s="210"/>
      <c r="BB6" s="210"/>
      <c r="BC6" s="210"/>
      <c r="BD6" s="210"/>
    </row>
    <row r="7" spans="2:56" s="30" customFormat="1" ht="11.1" customHeight="1" x14ac:dyDescent="0.15">
      <c r="B7" s="49"/>
      <c r="C7" s="236"/>
      <c r="D7" s="92" t="s">
        <v>112</v>
      </c>
      <c r="E7" s="92"/>
      <c r="F7" s="91"/>
      <c r="G7" s="91"/>
      <c r="H7" s="91"/>
      <c r="I7" s="46"/>
      <c r="J7" s="46"/>
      <c r="K7" s="46"/>
      <c r="L7" s="46"/>
      <c r="M7" s="46"/>
      <c r="N7" s="47"/>
      <c r="O7" s="48"/>
      <c r="P7" s="46"/>
      <c r="Q7" s="46"/>
      <c r="R7" s="46"/>
      <c r="S7" s="46"/>
      <c r="T7" s="46"/>
      <c r="U7" s="46"/>
      <c r="V7" s="46"/>
      <c r="W7" s="46" t="s">
        <v>9</v>
      </c>
      <c r="X7" s="46" t="s">
        <v>10</v>
      </c>
      <c r="Y7" s="46" t="s">
        <v>11</v>
      </c>
      <c r="Z7" s="46" t="s">
        <v>12</v>
      </c>
      <c r="AA7" s="46"/>
      <c r="AB7" s="46"/>
      <c r="AC7" s="46"/>
      <c r="AD7" s="46"/>
      <c r="AE7" s="46" t="s">
        <v>207</v>
      </c>
      <c r="AF7" s="46"/>
      <c r="AG7" s="46"/>
      <c r="AH7" s="46"/>
      <c r="AI7" s="46"/>
      <c r="AJ7" s="46" t="s">
        <v>13</v>
      </c>
      <c r="AK7" s="46" t="s">
        <v>14</v>
      </c>
      <c r="AL7" s="46" t="s">
        <v>15</v>
      </c>
      <c r="AM7" s="46"/>
      <c r="AN7" s="46"/>
      <c r="AO7" s="46" t="s">
        <v>13</v>
      </c>
      <c r="AP7" s="46" t="s">
        <v>14</v>
      </c>
      <c r="AQ7" s="46" t="s">
        <v>15</v>
      </c>
      <c r="AR7" s="46"/>
      <c r="AS7" s="46"/>
      <c r="AT7" s="46"/>
      <c r="AU7" s="46"/>
      <c r="AV7" s="46"/>
      <c r="AW7" s="46"/>
      <c r="AX7" s="50"/>
      <c r="AY7" s="210"/>
      <c r="AZ7" s="210"/>
      <c r="BA7" s="210"/>
      <c r="BB7" s="210"/>
      <c r="BC7" s="210"/>
      <c r="BD7" s="210"/>
    </row>
    <row r="8" spans="2:56" s="30" customFormat="1" ht="11.1" customHeight="1" thickBot="1" x14ac:dyDescent="0.2">
      <c r="B8" s="49"/>
      <c r="C8" s="92"/>
      <c r="D8" s="92"/>
      <c r="E8" s="92"/>
      <c r="F8" s="91"/>
      <c r="G8" s="91"/>
      <c r="H8" s="91"/>
      <c r="I8" s="46"/>
      <c r="J8" s="46"/>
      <c r="K8" s="46"/>
      <c r="L8" s="46"/>
      <c r="M8" s="46"/>
      <c r="N8" s="47"/>
      <c r="O8" s="48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50"/>
      <c r="AY8" s="210"/>
      <c r="AZ8" s="210"/>
      <c r="BA8" s="210"/>
      <c r="BB8" s="210"/>
      <c r="BC8" s="210"/>
      <c r="BD8" s="210"/>
    </row>
    <row r="9" spans="2:56" s="30" customFormat="1" ht="20.100000000000001" customHeight="1" thickBot="1" x14ac:dyDescent="0.2">
      <c r="B9" s="232" t="s">
        <v>204</v>
      </c>
      <c r="C9" s="233"/>
      <c r="D9" s="233"/>
      <c r="E9" s="234"/>
      <c r="F9" s="91"/>
      <c r="G9" s="91"/>
      <c r="H9" s="91"/>
      <c r="I9" s="46"/>
      <c r="J9" s="46"/>
      <c r="K9" s="46"/>
      <c r="L9" s="46"/>
      <c r="M9" s="46"/>
      <c r="N9" s="47"/>
      <c r="O9" s="48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50"/>
      <c r="AY9" s="210"/>
      <c r="AZ9" s="210"/>
      <c r="BA9" s="210"/>
      <c r="BB9" s="210"/>
      <c r="BC9" s="210"/>
      <c r="BD9" s="210"/>
    </row>
    <row r="10" spans="2:56" s="16" customFormat="1" ht="20.100000000000001" customHeight="1" x14ac:dyDescent="0.15">
      <c r="B10" s="247" t="s">
        <v>16</v>
      </c>
      <c r="C10" s="250" t="s">
        <v>113</v>
      </c>
      <c r="D10" s="253" t="s">
        <v>17</v>
      </c>
      <c r="E10" s="254"/>
      <c r="F10" s="259" t="s">
        <v>18</v>
      </c>
      <c r="G10" s="260"/>
      <c r="H10" s="260"/>
      <c r="I10" s="260"/>
      <c r="J10" s="260"/>
      <c r="K10" s="260"/>
      <c r="L10" s="260"/>
      <c r="M10" s="260"/>
      <c r="N10" s="259" t="s">
        <v>19</v>
      </c>
      <c r="O10" s="260"/>
      <c r="P10" s="260"/>
      <c r="Q10" s="260"/>
      <c r="R10" s="260"/>
      <c r="S10" s="260"/>
      <c r="T10" s="260"/>
      <c r="U10" s="260"/>
      <c r="V10" s="260"/>
      <c r="W10" s="260"/>
      <c r="X10" s="260"/>
      <c r="Y10" s="260"/>
      <c r="Z10" s="260"/>
      <c r="AA10" s="260"/>
      <c r="AB10" s="260"/>
      <c r="AC10" s="260"/>
      <c r="AD10" s="263"/>
      <c r="AE10" s="240" t="s">
        <v>131</v>
      </c>
      <c r="AF10" s="241"/>
      <c r="AG10" s="244" t="s">
        <v>20</v>
      </c>
      <c r="AH10" s="245"/>
      <c r="AI10" s="245"/>
      <c r="AJ10" s="245"/>
      <c r="AK10" s="245"/>
      <c r="AL10" s="245"/>
      <c r="AM10" s="245"/>
      <c r="AN10" s="245"/>
      <c r="AO10" s="245"/>
      <c r="AP10" s="245"/>
      <c r="AQ10" s="245"/>
      <c r="AR10" s="245"/>
      <c r="AS10" s="246"/>
      <c r="AT10" s="267" t="s">
        <v>21</v>
      </c>
      <c r="AU10" s="268"/>
      <c r="AV10" s="268"/>
      <c r="AW10" s="269"/>
      <c r="AY10" s="211"/>
      <c r="AZ10" s="211"/>
      <c r="BA10" s="211"/>
      <c r="BB10" s="211"/>
      <c r="BC10" s="211"/>
      <c r="BD10" s="211"/>
    </row>
    <row r="11" spans="2:56" s="16" customFormat="1" ht="20.100000000000001" customHeight="1" x14ac:dyDescent="0.15">
      <c r="B11" s="248"/>
      <c r="C11" s="251"/>
      <c r="D11" s="255"/>
      <c r="E11" s="256"/>
      <c r="F11" s="261"/>
      <c r="G11" s="262"/>
      <c r="H11" s="262"/>
      <c r="I11" s="262"/>
      <c r="J11" s="262"/>
      <c r="K11" s="262"/>
      <c r="L11" s="262"/>
      <c r="M11" s="262"/>
      <c r="N11" s="261"/>
      <c r="O11" s="262"/>
      <c r="P11" s="262"/>
      <c r="Q11" s="262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4"/>
      <c r="AE11" s="242"/>
      <c r="AF11" s="243"/>
      <c r="AG11" s="270" t="s">
        <v>132</v>
      </c>
      <c r="AH11" s="271"/>
      <c r="AI11" s="271"/>
      <c r="AJ11" s="271" t="s">
        <v>133</v>
      </c>
      <c r="AK11" s="271"/>
      <c r="AL11" s="271"/>
      <c r="AM11" s="271"/>
      <c r="AN11" s="271"/>
      <c r="AO11" s="271" t="s">
        <v>134</v>
      </c>
      <c r="AP11" s="271"/>
      <c r="AQ11" s="271"/>
      <c r="AR11" s="271"/>
      <c r="AS11" s="272"/>
      <c r="AT11" s="273" t="s">
        <v>138</v>
      </c>
      <c r="AU11" s="274"/>
      <c r="AV11" s="274"/>
      <c r="AW11" s="275"/>
      <c r="AY11" s="211"/>
      <c r="AZ11" s="211"/>
      <c r="BA11" s="211"/>
      <c r="BB11" s="211"/>
      <c r="BC11" s="211"/>
      <c r="BD11" s="211"/>
    </row>
    <row r="12" spans="2:56" s="16" customFormat="1" ht="35.1" customHeight="1" x14ac:dyDescent="0.15">
      <c r="B12" s="249"/>
      <c r="C12" s="252"/>
      <c r="D12" s="257"/>
      <c r="E12" s="258"/>
      <c r="F12" s="55" t="s">
        <v>22</v>
      </c>
      <c r="G12" s="56" t="s">
        <v>23</v>
      </c>
      <c r="H12" s="265" t="s">
        <v>248</v>
      </c>
      <c r="I12" s="266"/>
      <c r="J12" s="54" t="s">
        <v>24</v>
      </c>
      <c r="K12" s="54" t="s">
        <v>25</v>
      </c>
      <c r="L12" s="54" t="s">
        <v>26</v>
      </c>
      <c r="M12" s="57" t="s">
        <v>27</v>
      </c>
      <c r="N12" s="58" t="s">
        <v>28</v>
      </c>
      <c r="O12" s="54" t="s">
        <v>29</v>
      </c>
      <c r="P12" s="54" t="s">
        <v>30</v>
      </c>
      <c r="Q12" s="54" t="s">
        <v>31</v>
      </c>
      <c r="R12" s="54" t="s">
        <v>32</v>
      </c>
      <c r="S12" s="54" t="s">
        <v>33</v>
      </c>
      <c r="T12" s="54" t="s">
        <v>34</v>
      </c>
      <c r="U12" s="54" t="s">
        <v>35</v>
      </c>
      <c r="V12" s="59" t="s">
        <v>36</v>
      </c>
      <c r="W12" s="54" t="s">
        <v>37</v>
      </c>
      <c r="X12" s="54" t="s">
        <v>38</v>
      </c>
      <c r="Y12" s="54" t="s">
        <v>39</v>
      </c>
      <c r="Z12" s="54" t="s">
        <v>40</v>
      </c>
      <c r="AA12" s="54" t="s">
        <v>41</v>
      </c>
      <c r="AB12" s="54" t="s">
        <v>42</v>
      </c>
      <c r="AC12" s="54" t="s">
        <v>126</v>
      </c>
      <c r="AD12" s="57" t="s">
        <v>125</v>
      </c>
      <c r="AE12" s="53" t="s">
        <v>43</v>
      </c>
      <c r="AF12" s="57" t="s">
        <v>44</v>
      </c>
      <c r="AG12" s="53" t="s">
        <v>45</v>
      </c>
      <c r="AH12" s="54" t="s">
        <v>46</v>
      </c>
      <c r="AI12" s="54" t="s">
        <v>47</v>
      </c>
      <c r="AJ12" s="54" t="s">
        <v>135</v>
      </c>
      <c r="AK12" s="54" t="s">
        <v>136</v>
      </c>
      <c r="AL12" s="54" t="s">
        <v>137</v>
      </c>
      <c r="AM12" s="54" t="s">
        <v>48</v>
      </c>
      <c r="AN12" s="54" t="s">
        <v>49</v>
      </c>
      <c r="AO12" s="54" t="s">
        <v>135</v>
      </c>
      <c r="AP12" s="54" t="s">
        <v>136</v>
      </c>
      <c r="AQ12" s="54" t="s">
        <v>137</v>
      </c>
      <c r="AR12" s="54" t="s">
        <v>48</v>
      </c>
      <c r="AS12" s="57" t="s">
        <v>49</v>
      </c>
      <c r="AT12" s="53" t="s">
        <v>50</v>
      </c>
      <c r="AU12" s="54" t="s">
        <v>51</v>
      </c>
      <c r="AV12" s="60" t="s">
        <v>52</v>
      </c>
      <c r="AW12" s="57" t="s">
        <v>49</v>
      </c>
      <c r="AX12" s="51"/>
      <c r="AY12" s="211"/>
      <c r="AZ12" s="211"/>
      <c r="BA12" s="211"/>
      <c r="BB12" s="211"/>
      <c r="BC12" s="211"/>
      <c r="BD12" s="211"/>
    </row>
    <row r="13" spans="2:56" s="17" customFormat="1" ht="8.1" customHeight="1" x14ac:dyDescent="0.15">
      <c r="B13" s="61"/>
      <c r="C13" s="62"/>
      <c r="D13" s="63"/>
      <c r="E13" s="64"/>
      <c r="F13" s="65"/>
      <c r="G13" s="66"/>
      <c r="H13" s="66"/>
      <c r="I13" s="66"/>
      <c r="J13" s="66"/>
      <c r="K13" s="66"/>
      <c r="L13" s="66"/>
      <c r="M13" s="67"/>
      <c r="N13" s="68"/>
      <c r="O13" s="69"/>
      <c r="P13" s="66"/>
      <c r="Q13" s="66"/>
      <c r="R13" s="66"/>
      <c r="S13" s="66"/>
      <c r="T13" s="66"/>
      <c r="U13" s="66"/>
      <c r="V13" s="66"/>
      <c r="W13" s="66"/>
      <c r="X13" s="237" t="s">
        <v>214</v>
      </c>
      <c r="Y13" s="238"/>
      <c r="Z13" s="238"/>
      <c r="AA13" s="239"/>
      <c r="AB13" s="66"/>
      <c r="AC13" s="70"/>
      <c r="AD13" s="67"/>
      <c r="AE13" s="65"/>
      <c r="AF13" s="67"/>
      <c r="AG13" s="65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7"/>
      <c r="AT13" s="65"/>
      <c r="AU13" s="66"/>
      <c r="AV13" s="70"/>
      <c r="AW13" s="67"/>
      <c r="AX13" s="29"/>
      <c r="AY13" s="212"/>
      <c r="AZ13" s="212"/>
      <c r="BA13" s="212"/>
      <c r="BB13" s="212"/>
      <c r="BC13" s="212"/>
      <c r="BD13" s="212"/>
    </row>
    <row r="14" spans="2:56" s="12" customFormat="1" ht="15" customHeight="1" x14ac:dyDescent="0.15">
      <c r="B14" s="96">
        <v>1</v>
      </c>
      <c r="C14" s="87">
        <f>(INDEX(Input_disp_check!$C$42:$C$58, MATCH(B14,Input_disp_check!$B$42:$B$58,0)))</f>
        <v>3000</v>
      </c>
      <c r="D14" s="132" t="str">
        <f>(INDEX(Input_disp_check!$D$42:$D$58, MATCH(B14,Input_disp_check!$B$42:$B$58,0)))</f>
        <v>H -</v>
      </c>
      <c r="E14" s="133">
        <f>(INDEX(Input_disp_check!$E$42:$E$58, MATCH(B14,Input_disp_check!$B$42:$B$58,0)))</f>
        <v>200</v>
      </c>
      <c r="F14" s="72">
        <f>SQRT(2*PI()^2*Input_disp_check!$C$8/Input_disp_check!$C$6)</f>
        <v>122.77449910610369</v>
      </c>
      <c r="G14" s="136">
        <v>2</v>
      </c>
      <c r="H14" s="73">
        <f>G14*C14/(INDEX(profile_H!$O$6:$O$17, MATCH(E14, profile_H!$C$6:$C$17, 0)))</f>
        <v>119.5219123505976</v>
      </c>
      <c r="I14" s="73" t="str">
        <f t="shared" ref="I14:I20" si="0">IF(H14&gt;200, "N.G","OK")</f>
        <v>OK</v>
      </c>
      <c r="J14" s="73">
        <f>12*PI()^2*Input_disp_check!$C$8/(23*H14^2)</f>
        <v>75.696776141064603</v>
      </c>
      <c r="K14" s="73">
        <f>(1-H14^2/(2*F14^2))*Input_disp_check!$C$6 / ((5/3) + (3*H14/(8*F14))-(H14^3/(8*F14^3)))</f>
        <v>75.50013495484859</v>
      </c>
      <c r="L14" s="74">
        <f t="shared" ref="L14:L26" si="1">IF(H14&lt;F14,K14,J14)</f>
        <v>75.50013495484859</v>
      </c>
      <c r="M14" s="75">
        <f>(INDEX(Input_disp_check!$I$42:$I$58, MATCH(B14,Input_disp_check!$B$42:$B$58,0)))/(INDEX(profile_H!$H$6:$H$17, MATCH(E14, profile_H!$C$6:$C$17, 0)))</f>
        <v>3.4731563828112697</v>
      </c>
      <c r="N14" s="76" t="str">
        <f>IF(M14/Input_disp_check!$C$6&lt;=0.16,"OK","Warning")</f>
        <v>OK</v>
      </c>
      <c r="O14" s="73">
        <f>200*(INDEX(profile_H!$D$6:$D$17, MATCH(E14, profile_H!$C$6:$C$17, 0)))/SQRT(Input_disp_check!$C$6)</f>
        <v>2412.0907566221085</v>
      </c>
      <c r="P14" s="73">
        <f>138000/(E14/((INDEX(profile_H!$D$6:$D$17, MATCH(E14, profile_H!$C$6:$C$17, 0)))*(INDEX(profile_H!$F$6:$F$17, MATCH(E14, profile_H!$C$6:$C$17, 0))))*Input_disp_check!$C$6)</f>
        <v>6021.8181818181829</v>
      </c>
      <c r="Q14" s="74">
        <f t="shared" ref="Q14:Q26" si="2">MIN(O14:P14)</f>
        <v>2412.0907566221085</v>
      </c>
      <c r="R14" s="73">
        <f>INDEX(profile_H!$I$6:$I$17, MATCH(E14, profile_H!$C$6:$C$17, 0))</f>
        <v>55.10818705693152</v>
      </c>
      <c r="S14" s="73">
        <f t="shared" ref="S14:S26" si="3">(C14)/R14</f>
        <v>54.43837223134814</v>
      </c>
      <c r="T14" s="73">
        <f>(703.3*1000*V14/Input_disp_check!$C$6)^0.5</f>
        <v>50.571281825306201</v>
      </c>
      <c r="U14" s="73">
        <f>(3516*1000*V14/Input_disp_check!$C$6)^0.5</f>
        <v>113.07278428275544</v>
      </c>
      <c r="V14" s="77">
        <v>1</v>
      </c>
      <c r="W14" s="71">
        <f>MIN(0.66*Input_disp_check!$C$6, 0.55*Input_disp_check!$C$7)</f>
        <v>181.5</v>
      </c>
      <c r="X14" s="73">
        <f>MIN(((2/3)-(Input_disp_check!$C$6*(C14/R14)^2 / (10550 * 1000*V14))),0.6) * Input_disp_check!$C$6</f>
        <v>162.08997427438445</v>
      </c>
      <c r="Y14" s="73">
        <f>MIN((1172*1000*V14)/(C14/R14)^2, 0.6*Input_disp_check!$C$6)</f>
        <v>165</v>
      </c>
      <c r="Z14" s="73">
        <f>MIN((82740*V14)/(C14*E14/INDEX(profile_H!$U$6:$U$17, MATCH(E14, profile_H!$C$6:$C$17, 0))), 0.6*Input_disp_check!$C$6)</f>
        <v>165</v>
      </c>
      <c r="AA14" s="71">
        <f t="shared" ref="AA14:AA26" si="4">MAX(IF(S14&gt;=T14,IF(S14&lt;=U14,X14,Y14), Z14),Z14)</f>
        <v>165</v>
      </c>
      <c r="AB14" s="74">
        <f t="shared" ref="AB14:AB26" si="5">IF(C14&gt;Q14,AA14,W14)</f>
        <v>165</v>
      </c>
      <c r="AC14" s="73">
        <f>(INDEX(Input_disp_check!$P$42:$P$58, MATCH(B14,Input_disp_check!$B$42:$B$58,0)))/INDEX(profile_H!$K$6:$K$17,MATCH(E14, profile_H!$C$6:$C$17, 0))</f>
        <v>56.097362288135592</v>
      </c>
      <c r="AD14" s="75">
        <f>(INDEX(Input_disp_check!$N$42:$N$58, MATCH(B14,Input_disp_check!$B$42:$B$58,0)))/INDEX(profile_H!$K$6:$K$17,MATCH(E14, profile_H!$C$6:$C$17, 0))</f>
        <v>14.024340572033896</v>
      </c>
      <c r="AE14" s="78">
        <f>MIN(0.75*Input_disp_check!$C$6,0.63*Input_disp_check!$C$7)</f>
        <v>206.25</v>
      </c>
      <c r="AF14" s="79">
        <f>(INDEX(Input_disp_check!$Q$42:$Q$58, MATCH(B14,Input_disp_check!$B$42:$B$58,0)))/INDEX(profile_H!$N$6:$N$17, MATCH(E14, profile_H!$C$6:$C$17, 0))</f>
        <v>82.743609374999991</v>
      </c>
      <c r="AG14" s="80">
        <f>12*PI()^2*Input_disp_check!$C$8/(23*(G14*C14/INDEX(profile_H!$L$6:$L$17, MATCH(E14, profile_H!$C$6:$C$17, 0)))^2)</f>
        <v>223.19501012270121</v>
      </c>
      <c r="AH14" s="81">
        <f>12*PI()^2*Input_disp_check!$C$8/(23*(G14*C14/INDEX(profile_H!$O$6:$O$17, MATCH(E14, profile_H!$C$6:$C$17, 0)))^2)</f>
        <v>75.696776141064603</v>
      </c>
      <c r="AI14" s="82">
        <v>0.85</v>
      </c>
      <c r="AJ14" s="83">
        <f t="shared" ref="AJ14:AJ26" si="6">(M14/L14)+(AI14*AD14/((1-M14/AG14)*AB14))+(AI14*AF14/((1-M14/AH14)*AE14))</f>
        <v>0.47679307910938518</v>
      </c>
      <c r="AK14" s="83">
        <f>(M14/(0.6*Input_disp_check!$C$6))+(AD14/AB14)+(AF14/AE14)</f>
        <v>0.50722657245360703</v>
      </c>
      <c r="AL14" s="83">
        <f t="shared" ref="AL14:AL26" si="7">(M14/L14)+(AD14/AB14)+(AF14/AE14)</f>
        <v>0.53217912889832042</v>
      </c>
      <c r="AM14" s="169">
        <f t="shared" ref="AM14:AM26" si="8">IF(M14/L14&lt;=0.15,AL14,MAX(AJ14,AK14))</f>
        <v>0.53217912889832042</v>
      </c>
      <c r="AN14" s="156" t="str">
        <f t="shared" ref="AN14:AN27" si="9">IF(AM14&lt;=1,"OK","NG")</f>
        <v>OK</v>
      </c>
      <c r="AO14" s="83">
        <f t="shared" ref="AO14:AO26" si="10">(M14/L14)+(AI14*AC14/((1-M14/AG14)*AB14))</f>
        <v>0.33955642621797599</v>
      </c>
      <c r="AP14" s="83">
        <f>(M14/(0.6*Input_disp_check!$C$6))+(AC14/AB14)</f>
        <v>0.36103344649058705</v>
      </c>
      <c r="AQ14" s="83">
        <f t="shared" ref="AQ14:AQ26" si="11">(M14/L14)+(AC14/AB14)</f>
        <v>0.38598600293530039</v>
      </c>
      <c r="AR14" s="169">
        <f t="shared" ref="AR14:AR26" si="12">IF(M14/L14&lt;=0.15,AQ14,MAX(AO14,AP14))</f>
        <v>0.38598600293530039</v>
      </c>
      <c r="AS14" s="157" t="str">
        <f t="shared" ref="AS14:AS27" si="13">IF(AR14&lt;=1,"OK","NG")</f>
        <v>OK</v>
      </c>
      <c r="AT14" s="78">
        <f>MIN(0.4*Input_disp_check!$C$6,0.33*Input_disp_check!$C$7)</f>
        <v>110</v>
      </c>
      <c r="AU14" s="86">
        <f>(INDEX(Input_disp_check!$I$42:$I$58, MATCH(B14,Input_disp_check!$B$42:$B$58,0)))/INDEX(profile_H!$T$6:$T$17, MATCH(E14, profile_H!$C$6:$C$17, 0))</f>
        <v>13.790601562499999</v>
      </c>
      <c r="AV14" s="169">
        <f t="shared" ref="AV14:AV26" si="14">AU14/AT14</f>
        <v>0.12536910511363636</v>
      </c>
      <c r="AW14" s="157" t="str">
        <f t="shared" ref="AW14:AW27" si="15">IF(AV14&lt;=1,"OK","NG")</f>
        <v>OK</v>
      </c>
      <c r="AX14" s="52"/>
      <c r="AY14" s="10"/>
      <c r="AZ14" s="10"/>
      <c r="BA14" s="10"/>
      <c r="BB14" s="10"/>
      <c r="BC14" s="10"/>
      <c r="BD14" s="10"/>
    </row>
    <row r="15" spans="2:56" s="12" customFormat="1" ht="15" customHeight="1" x14ac:dyDescent="0.15">
      <c r="B15" s="96">
        <v>2</v>
      </c>
      <c r="C15" s="87">
        <f>(INDEX(Input_disp_check!$C$42:$C$58, MATCH(B15,Input_disp_check!$B$42:$B$58,0)))</f>
        <v>3000</v>
      </c>
      <c r="D15" s="132" t="str">
        <f>(INDEX(Input_disp_check!$D$42:$D$58, MATCH(B15,Input_disp_check!$B$42:$B$58,0)))</f>
        <v>H -</v>
      </c>
      <c r="E15" s="133">
        <f>(INDEX(Input_disp_check!$E$42:$E$58, MATCH(B15,Input_disp_check!$B$42:$B$58,0)))</f>
        <v>150</v>
      </c>
      <c r="F15" s="72">
        <f>SQRT(2*PI()^2*Input_disp_check!$C$8/Input_disp_check!$C$6)</f>
        <v>122.77449910610369</v>
      </c>
      <c r="G15" s="136">
        <v>2</v>
      </c>
      <c r="H15" s="73">
        <f>G15*C15/(INDEX(profile_H!$O$6:$O$17, MATCH(E15, profile_H!$C$6:$C$17, 0)))</f>
        <v>160</v>
      </c>
      <c r="I15" s="73" t="str">
        <f t="shared" si="0"/>
        <v>OK</v>
      </c>
      <c r="J15" s="73">
        <f>12*PI()^2*Input_disp_check!$C$8/(23*H15^2)</f>
        <v>42.240834053575377</v>
      </c>
      <c r="K15" s="73">
        <f>(1-H15^2/(2*F15^2))*Input_disp_check!$C$6 / ((5/3) + (3*H15/(8*F15))-(H15^3/(8*F15^3)))</f>
        <v>22.078361211992696</v>
      </c>
      <c r="L15" s="74">
        <f t="shared" ref="L15:L18" si="16">IF(H15&lt;F15,K15,J15)</f>
        <v>42.240834053575377</v>
      </c>
      <c r="M15" s="75">
        <f>(INDEX(Input_disp_check!$I$42:$I$58, MATCH(B15,Input_disp_check!$B$42:$B$58,0)))/(INDEX(profile_H!$H$6:$H$17, MATCH(E15, profile_H!$C$6:$C$17, 0)))</f>
        <v>1.9544892874937718</v>
      </c>
      <c r="N15" s="76" t="str">
        <f>IF(M15/Input_disp_check!$C$6&lt;=0.16,"OK","Warning")</f>
        <v>OK</v>
      </c>
      <c r="O15" s="73">
        <f>200*(INDEX(profile_H!$D$6:$D$17, MATCH(E15, profile_H!$C$6:$C$17, 0)))/SQRT(Input_disp_check!$C$6)</f>
        <v>1809.0680674665816</v>
      </c>
      <c r="P15" s="73">
        <f>138000/(E15/((INDEX(profile_H!$D$6:$D$17, MATCH(E15, profile_H!$C$6:$C$17, 0)))*(INDEX(profile_H!$F$6:$F$17, MATCH(E15, profile_H!$C$6:$C$17, 0))))*Input_disp_check!$C$6)</f>
        <v>5018.181818181818</v>
      </c>
      <c r="Q15" s="74">
        <f t="shared" ref="Q15:Q18" si="17">MIN(O15:P15)</f>
        <v>1809.0680674665816</v>
      </c>
      <c r="R15" s="73">
        <f>INDEX(profile_H!$I$6:$I$17, MATCH(E15, profile_H!$C$6:$C$17, 0))</f>
        <v>41.26984839825154</v>
      </c>
      <c r="S15" s="73">
        <f t="shared" ref="S15:S18" si="18">(C15)/R15</f>
        <v>72.692295136395501</v>
      </c>
      <c r="T15" s="73">
        <f>(703.3*1000*V15/Input_disp_check!$C$6)^0.5</f>
        <v>50.571281825306201</v>
      </c>
      <c r="U15" s="73">
        <f>(3516*1000*V15/Input_disp_check!$C$6)^0.5</f>
        <v>113.07278428275544</v>
      </c>
      <c r="V15" s="77">
        <v>1</v>
      </c>
      <c r="W15" s="71">
        <f>MIN(0.66*Input_disp_check!$C$6, 0.55*Input_disp_check!$C$7)</f>
        <v>181.5</v>
      </c>
      <c r="X15" s="73">
        <f>MIN(((2/3)-(Input_disp_check!$C$6*(C15/R15)^2 / (10550 * 1000*V15))),0.6) * Input_disp_check!$C$6</f>
        <v>145.45510214637738</v>
      </c>
      <c r="Y15" s="73">
        <f>MIN((1172*1000*V15)/(C15/R15)^2, 0.6*Input_disp_check!$C$6)</f>
        <v>165</v>
      </c>
      <c r="Z15" s="73">
        <f>MIN((82740*V15)/(C15*E15/INDEX(profile_H!$U$6:$U$17, MATCH(E15, profile_H!$C$6:$C$17, 0))), 0.6*Input_disp_check!$C$6)</f>
        <v>165</v>
      </c>
      <c r="AA15" s="71">
        <f t="shared" ref="AA15:AA18" si="19">MAX(IF(S15&gt;=T15,IF(S15&lt;=U15,X15,Y15), Z15),Z15)</f>
        <v>165</v>
      </c>
      <c r="AB15" s="74">
        <f t="shared" ref="AB15:AB18" si="20">IF(C15&gt;Q15,AA15,W15)</f>
        <v>165</v>
      </c>
      <c r="AC15" s="73">
        <f>(INDEX(Input_disp_check!$P$42:$P$58, MATCH(B15,Input_disp_check!$B$42:$B$58,0)))/INDEX(profile_H!$K$6:$K$17,MATCH(E15, profile_H!$C$6:$C$17, 0))</f>
        <v>42.988054794520551</v>
      </c>
      <c r="AD15" s="75">
        <f>(INDEX(Input_disp_check!$N$42:$N$58, MATCH(B15,Input_disp_check!$B$42:$B$58,0)))/INDEX(profile_H!$K$6:$K$17,MATCH(E15, profile_H!$C$6:$C$17, 0))</f>
        <v>10.747013698630138</v>
      </c>
      <c r="AE15" s="78">
        <f>MIN(0.75*Input_disp_check!$C$6,0.63*Input_disp_check!$C$7)</f>
        <v>206.25</v>
      </c>
      <c r="AF15" s="79">
        <f>(INDEX(Input_disp_check!$Q$42:$Q$58, MATCH(B15,Input_disp_check!$B$42:$B$58,0)))/INDEX(profile_H!$N$6:$N$17, MATCH(E15, profile_H!$C$6:$C$17, 0))</f>
        <v>62.678988015978696</v>
      </c>
      <c r="AG15" s="80">
        <f>12*PI()^2*Input_disp_check!$C$8/(23*(G15*C15/INDEX(profile_H!$L$6:$L$17, MATCH(E15, profile_H!$C$6:$C$17, 0)))^2)</f>
        <v>122.65116161130634</v>
      </c>
      <c r="AH15" s="81">
        <f>12*PI()^2*Input_disp_check!$C$8/(23*(G15*C15/INDEX(profile_H!$O$6:$O$17, MATCH(E15, profile_H!$C$6:$C$17, 0)))^2)</f>
        <v>42.240834053575377</v>
      </c>
      <c r="AI15" s="82">
        <v>0.85</v>
      </c>
      <c r="AJ15" s="83">
        <f t="shared" ref="AJ15:AJ18" si="21">(M15/L15)+(AI15*AD15/((1-M15/AG15)*AB15))+(AI15*AF15/((1-M15/AH15)*AE15))</f>
        <v>0.37337552763974846</v>
      </c>
      <c r="AK15" s="83">
        <f>(M15/(0.6*Input_disp_check!$C$6))+(AD15/AB15)+(AF15/AE15)</f>
        <v>0.38087692969034465</v>
      </c>
      <c r="AL15" s="83">
        <f t="shared" ref="AL15:AL18" si="22">(M15/L15)+(AD15/AB15)+(AF15/AE15)</f>
        <v>0.41530167964583753</v>
      </c>
      <c r="AM15" s="169">
        <f t="shared" ref="AM15:AM18" si="23">IF(M15/L15&lt;=0.15,AL15,MAX(AJ15,AK15))</f>
        <v>0.41530167964583753</v>
      </c>
      <c r="AN15" s="156" t="str">
        <f t="shared" ref="AN15:AN18" si="24">IF(AM15&lt;=1,"OK","NG")</f>
        <v>OK</v>
      </c>
      <c r="AO15" s="83">
        <f t="shared" ref="AO15:AO18" si="25">(M15/L15)+(AI15*AC15/((1-M15/AG15)*AB15))</f>
        <v>0.27130984178561413</v>
      </c>
      <c r="AP15" s="83">
        <f>(M15/(0.6*Input_disp_check!$C$6))+(AC15/AB15)</f>
        <v>0.27237905504251103</v>
      </c>
      <c r="AQ15" s="83">
        <f t="shared" ref="AQ15:AQ18" si="26">(M15/L15)+(AC15/AB15)</f>
        <v>0.30680380499800392</v>
      </c>
      <c r="AR15" s="169">
        <f t="shared" ref="AR15:AR18" si="27">IF(M15/L15&lt;=0.15,AQ15,MAX(AO15,AP15))</f>
        <v>0.30680380499800392</v>
      </c>
      <c r="AS15" s="157" t="str">
        <f t="shared" ref="AS15:AS18" si="28">IF(AR15&lt;=1,"OK","NG")</f>
        <v>OK</v>
      </c>
      <c r="AT15" s="78">
        <f>MIN(0.4*Input_disp_check!$C$6,0.33*Input_disp_check!$C$7)</f>
        <v>110</v>
      </c>
      <c r="AU15" s="86">
        <f>(INDEX(Input_disp_check!$I$42:$I$58, MATCH(B15,Input_disp_check!$B$42:$B$58,0)))/INDEX(profile_H!$T$6:$T$17, MATCH(E15, profile_H!$C$6:$C$17, 0))</f>
        <v>7.4717333333333329</v>
      </c>
      <c r="AV15" s="169">
        <f t="shared" ref="AV15:AV18" si="29">AU15/AT15</f>
        <v>6.7924848484848477E-2</v>
      </c>
      <c r="AW15" s="157" t="str">
        <f t="shared" ref="AW15:AW18" si="30">IF(AV15&lt;=1,"OK","NG")</f>
        <v>OK</v>
      </c>
      <c r="AX15" s="52"/>
      <c r="AY15" s="10"/>
      <c r="AZ15" s="10"/>
      <c r="BA15" s="10"/>
      <c r="BB15" s="10"/>
      <c r="BC15" s="10"/>
      <c r="BD15" s="10"/>
    </row>
    <row r="16" spans="2:56" s="12" customFormat="1" ht="15" customHeight="1" x14ac:dyDescent="0.15">
      <c r="B16" s="96">
        <v>3</v>
      </c>
      <c r="C16" s="87">
        <f>(INDEX(Input_disp_check!$C$42:$C$58, MATCH(B16,Input_disp_check!$B$42:$B$58,0)))</f>
        <v>3000</v>
      </c>
      <c r="D16" s="132" t="str">
        <f>(INDEX(Input_disp_check!$D$42:$D$58, MATCH(B16,Input_disp_check!$B$42:$B$58,0)))</f>
        <v>H -</v>
      </c>
      <c r="E16" s="133">
        <f>(INDEX(Input_disp_check!$E$42:$E$58, MATCH(B16,Input_disp_check!$B$42:$B$58,0)))</f>
        <v>125</v>
      </c>
      <c r="F16" s="72">
        <f>SQRT(2*PI()^2*Input_disp_check!$C$8/Input_disp_check!$C$6)</f>
        <v>122.77449910610369</v>
      </c>
      <c r="G16" s="136">
        <v>2</v>
      </c>
      <c r="H16" s="73">
        <f>G16*C16/(INDEX(profile_H!$O$6:$O$17, MATCH(E16, profile_H!$C$6:$C$17, 0)))</f>
        <v>192.92604501607715</v>
      </c>
      <c r="I16" s="73" t="str">
        <f t="shared" si="0"/>
        <v>OK</v>
      </c>
      <c r="J16" s="73">
        <f>12*PI()^2*Input_disp_check!$C$8/(23*H16^2)</f>
        <v>29.052982830192818</v>
      </c>
      <c r="K16" s="73">
        <f>(1-H16^2/(2*F16^2))*Input_disp_check!$C$6 / ((5/3) + (3*H16/(8*F16))-(H16^3/(8*F16^3)))</f>
        <v>-36.434282834768801</v>
      </c>
      <c r="L16" s="74">
        <f t="shared" ref="L16" si="31">IF(H16&lt;F16,K16,J16)</f>
        <v>29.052982830192818</v>
      </c>
      <c r="M16" s="75">
        <f>(INDEX(Input_disp_check!$I$42:$I$58, MATCH(B16,Input_disp_check!$B$42:$B$58,0)))/(INDEX(profile_H!$H$6:$H$17, MATCH(E16, profile_H!$C$6:$C$17, 0)))</f>
        <v>1.2941801385681293</v>
      </c>
      <c r="N16" s="76" t="str">
        <f>IF(M16/Input_disp_check!$C$6&lt;=0.16,"OK","Warning")</f>
        <v>OK</v>
      </c>
      <c r="O16" s="73">
        <f>200*(INDEX(profile_H!$D$6:$D$17, MATCH(E16, profile_H!$C$6:$C$17, 0)))/SQRT(Input_disp_check!$C$6)</f>
        <v>1507.5567228888181</v>
      </c>
      <c r="P16" s="73">
        <f>138000/(E16/((INDEX(profile_H!$D$6:$D$17, MATCH(E16, profile_H!$C$6:$C$17, 0)))*(INDEX(profile_H!$F$6:$F$17, MATCH(E16, profile_H!$C$6:$C$17, 0))))*Input_disp_check!$C$6)</f>
        <v>4516.3636363636369</v>
      </c>
      <c r="Q16" s="74">
        <f t="shared" ref="Q16" si="32">MIN(O16:P16)</f>
        <v>1507.5567228888181</v>
      </c>
      <c r="R16" s="73">
        <f>INDEX(profile_H!$I$6:$I$17, MATCH(E16, profile_H!$C$6:$C$17, 0))</f>
        <v>34.362506408833305</v>
      </c>
      <c r="S16" s="73">
        <f t="shared" ref="S16" si="33">(C16)/R16</f>
        <v>87.304458071452359</v>
      </c>
      <c r="T16" s="73">
        <f>(703.3*1000*V16/Input_disp_check!$C$6)^0.5</f>
        <v>50.571281825306201</v>
      </c>
      <c r="U16" s="73">
        <f>(3516*1000*V16/Input_disp_check!$C$6)^0.5</f>
        <v>113.07278428275544</v>
      </c>
      <c r="V16" s="77">
        <v>1</v>
      </c>
      <c r="W16" s="71">
        <f>MIN(0.66*Input_disp_check!$C$6, 0.55*Input_disp_check!$C$7)</f>
        <v>181.5</v>
      </c>
      <c r="X16" s="73">
        <f>MIN(((2/3)-(Input_disp_check!$C$6*(C16/R16)^2 / (10550 * 1000*V16))),0.6) * Input_disp_check!$C$6</f>
        <v>128.69646862378664</v>
      </c>
      <c r="Y16" s="73">
        <f>MIN((1172*1000*V16)/(C16/R16)^2, 0.6*Input_disp_check!$C$6)</f>
        <v>153.76403603655697</v>
      </c>
      <c r="Z16" s="73">
        <f>MIN((82740*V16)/(C16*E16/INDEX(profile_H!$U$6:$U$17, MATCH(E16, profile_H!$C$6:$C$17, 0))), 0.6*Input_disp_check!$C$6)</f>
        <v>165</v>
      </c>
      <c r="AA16" s="71">
        <f t="shared" ref="AA16" si="34">MAX(IF(S16&gt;=T16,IF(S16&lt;=U16,X16,Y16), Z16),Z16)</f>
        <v>165</v>
      </c>
      <c r="AB16" s="74">
        <f t="shared" ref="AB16" si="35">IF(C16&gt;Q16,AA16,W16)</f>
        <v>165</v>
      </c>
      <c r="AC16" s="73">
        <f>(INDEX(Input_disp_check!$P$42:$P$58, MATCH(B16,Input_disp_check!$B$42:$B$58,0)))/INDEX(profile_H!$K$6:$K$17,MATCH(E16, profile_H!$C$6:$C$17, 0))</f>
        <v>34.611705882352943</v>
      </c>
      <c r="AD16" s="75">
        <f>(INDEX(Input_disp_check!$N$42:$N$58, MATCH(B16,Input_disp_check!$B$42:$B$58,0)))/INDEX(profile_H!$K$6:$K$17,MATCH(E16, profile_H!$C$6:$C$17, 0))</f>
        <v>8.6529264705882358</v>
      </c>
      <c r="AE16" s="78">
        <f>MIN(0.75*Input_disp_check!$C$6,0.63*Input_disp_check!$C$7)</f>
        <v>206.25</v>
      </c>
      <c r="AF16" s="79">
        <f>(INDEX(Input_disp_check!$Q$42:$Q$58, MATCH(B16,Input_disp_check!$B$42:$B$58,0)))/INDEX(profile_H!$N$6:$N$17, MATCH(E16, profile_H!$C$6:$C$17, 0))</f>
        <v>50.076510638297876</v>
      </c>
      <c r="AG16" s="80">
        <f>12*PI()^2*Input_disp_check!$C$8/(23*(G16*C16/INDEX(profile_H!$L$6:$L$17, MATCH(E16, profile_H!$C$6:$C$17, 0)))^2)</f>
        <v>84.058433723637947</v>
      </c>
      <c r="AH16" s="81">
        <f>12*PI()^2*Input_disp_check!$C$8/(23*(G16*C16/INDEX(profile_H!$O$6:$O$17, MATCH(E16, profile_H!$C$6:$C$17, 0)))^2)</f>
        <v>29.052982830192818</v>
      </c>
      <c r="AI16" s="82">
        <v>0.85</v>
      </c>
      <c r="AJ16" s="83">
        <f t="shared" ref="AJ16" si="36">(M16/L16)+(AI16*AD16/((1-M16/AG16)*AB16))+(AI16*AF16/((1-M16/AH16)*AE16))</f>
        <v>0.30581587585268599</v>
      </c>
      <c r="AK16" s="83">
        <f>(M16/(0.6*Input_disp_check!$C$6))+(AD16/AB16)+(AF16/AE16)</f>
        <v>0.30308069769572527</v>
      </c>
      <c r="AL16" s="83">
        <f t="shared" ref="AL16" si="37">(M16/L16)+(AD16/AB16)+(AF16/AE16)</f>
        <v>0.33978269863573796</v>
      </c>
      <c r="AM16" s="169">
        <f t="shared" ref="AM16" si="38">IF(M16/L16&lt;=0.15,AL16,MAX(AJ16,AK16))</f>
        <v>0.33978269863573796</v>
      </c>
      <c r="AN16" s="156" t="str">
        <f t="shared" ref="AN16" si="39">IF(AM16&lt;=1,"OK","NG")</f>
        <v>OK</v>
      </c>
      <c r="AO16" s="83">
        <f t="shared" ref="AO16" si="40">(M16/L16)+(AI16*AC16/((1-M16/AG16)*AB16))</f>
        <v>0.22563635426720299</v>
      </c>
      <c r="AP16" s="83">
        <f>(M16/(0.6*Input_disp_check!$C$6))+(AC16/AB16)</f>
        <v>0.21761143042982467</v>
      </c>
      <c r="AQ16" s="83">
        <f t="shared" ref="AQ16" si="41">(M16/L16)+(AC16/AB16)</f>
        <v>0.25431343136983736</v>
      </c>
      <c r="AR16" s="169">
        <f t="shared" ref="AR16" si="42">IF(M16/L16&lt;=0.15,AQ16,MAX(AO16,AP16))</f>
        <v>0.25431343136983736</v>
      </c>
      <c r="AS16" s="157" t="str">
        <f t="shared" ref="AS16" si="43">IF(AR16&lt;=1,"OK","NG")</f>
        <v>OK</v>
      </c>
      <c r="AT16" s="78">
        <f>MIN(0.4*Input_disp_check!$C$6,0.33*Input_disp_check!$C$7)</f>
        <v>110</v>
      </c>
      <c r="AU16" s="86">
        <f>(INDEX(Input_disp_check!$I$42:$I$58, MATCH(B16,Input_disp_check!$B$42:$B$58,0)))/INDEX(profile_H!$T$6:$T$17, MATCH(E16, profile_H!$C$6:$C$17, 0))</f>
        <v>4.8278892307692303</v>
      </c>
      <c r="AV16" s="169">
        <f t="shared" ref="AV16" si="44">AU16/AT16</f>
        <v>4.3889902097902091E-2</v>
      </c>
      <c r="AW16" s="157" t="str">
        <f t="shared" si="30"/>
        <v>OK</v>
      </c>
      <c r="AX16" s="52"/>
      <c r="AY16" s="10"/>
      <c r="AZ16" s="10"/>
      <c r="BA16" s="10"/>
      <c r="BB16" s="10"/>
      <c r="BC16" s="10"/>
      <c r="BD16" s="10"/>
    </row>
    <row r="17" spans="2:56" s="12" customFormat="1" ht="15" customHeight="1" x14ac:dyDescent="0.15">
      <c r="B17" s="96">
        <v>4</v>
      </c>
      <c r="C17" s="87">
        <f>(INDEX(Input_disp_check!$C$42:$C$58, MATCH(B17,Input_disp_check!$B$42:$B$58,0)))</f>
        <v>2500</v>
      </c>
      <c r="D17" s="132" t="str">
        <f>(INDEX(Input_disp_check!$D$42:$D$58, MATCH(B17,Input_disp_check!$B$42:$B$58,0)))</f>
        <v>H -</v>
      </c>
      <c r="E17" s="133">
        <f>(INDEX(Input_disp_check!$E$42:$E$58, MATCH(B17,Input_disp_check!$B$42:$B$58,0)))</f>
        <v>200</v>
      </c>
      <c r="F17" s="72">
        <f>SQRT(2*PI()^2*Input_disp_check!$C$8/Input_disp_check!$C$6)</f>
        <v>122.77449910610369</v>
      </c>
      <c r="G17" s="136">
        <v>2</v>
      </c>
      <c r="H17" s="73">
        <f>G17*C17/(INDEX(profile_H!$O$6:$O$17, MATCH(E17, profile_H!$C$6:$C$17, 0)))</f>
        <v>99.601593625497998</v>
      </c>
      <c r="I17" s="73" t="str">
        <f t="shared" si="0"/>
        <v>OK</v>
      </c>
      <c r="J17" s="73">
        <f>12*PI()^2*Input_disp_check!$C$8/(23*H17^2)</f>
        <v>109.00335764313304</v>
      </c>
      <c r="K17" s="73">
        <f>(1-H17^2/(2*F17^2))*Input_disp_check!$C$6 / ((5/3) + (3*H17/(8*F17))-(H17^3/(8*F17^3)))</f>
        <v>96.896969028159162</v>
      </c>
      <c r="L17" s="74">
        <f t="shared" si="16"/>
        <v>96.896969028159162</v>
      </c>
      <c r="M17" s="75">
        <f>(INDEX(Input_disp_check!$I$42:$I$58, MATCH(B17,Input_disp_check!$B$42:$B$58,0)))/(INDEX(profile_H!$H$6:$H$17, MATCH(E17, profile_H!$C$6:$C$17, 0)))</f>
        <v>4.6308751770816929</v>
      </c>
      <c r="N17" s="76" t="str">
        <f>IF(M17/Input_disp_check!$C$6&lt;=0.16,"OK","Warning")</f>
        <v>OK</v>
      </c>
      <c r="O17" s="73">
        <f>200*(INDEX(profile_H!$D$6:$D$17, MATCH(E17, profile_H!$C$6:$C$17, 0)))/SQRT(Input_disp_check!$C$6)</f>
        <v>2412.0907566221085</v>
      </c>
      <c r="P17" s="73">
        <f>138000/(E17/((INDEX(profile_H!$D$6:$D$17, MATCH(E17, profile_H!$C$6:$C$17, 0)))*(INDEX(profile_H!$F$6:$F$17, MATCH(E17, profile_H!$C$6:$C$17, 0))))*Input_disp_check!$C$6)</f>
        <v>6021.8181818181829</v>
      </c>
      <c r="Q17" s="74">
        <f t="shared" si="17"/>
        <v>2412.0907566221085</v>
      </c>
      <c r="R17" s="73">
        <f>INDEX(profile_H!$I$6:$I$17, MATCH(E17, profile_H!$C$6:$C$17, 0))</f>
        <v>55.10818705693152</v>
      </c>
      <c r="S17" s="73">
        <f t="shared" si="18"/>
        <v>45.365310192790119</v>
      </c>
      <c r="T17" s="73">
        <f>(703.3*1000*V17/Input_disp_check!$C$6)^0.5</f>
        <v>50.571281825306201</v>
      </c>
      <c r="U17" s="73">
        <f>(3516*1000*V17/Input_disp_check!$C$6)^0.5</f>
        <v>113.07278428275544</v>
      </c>
      <c r="V17" s="77">
        <v>1</v>
      </c>
      <c r="W17" s="71">
        <f>MIN(0.66*Input_disp_check!$C$6, 0.55*Input_disp_check!$C$7)</f>
        <v>181.5</v>
      </c>
      <c r="X17" s="73">
        <f>MIN(((2/3)-(Input_disp_check!$C$6*(C17/R17)^2 / (10550 * 1000*V17))),0.6) * Input_disp_check!$C$6</f>
        <v>165</v>
      </c>
      <c r="Y17" s="73">
        <f>MIN((1172*1000*V17)/(C17/R17)^2, 0.6*Input_disp_check!$C$6)</f>
        <v>165</v>
      </c>
      <c r="Z17" s="73">
        <f>MIN((82740*V17)/(C17*E17/INDEX(profile_H!$U$6:$U$17, MATCH(E17, profile_H!$C$6:$C$17, 0))), 0.6*Input_disp_check!$C$6)</f>
        <v>165</v>
      </c>
      <c r="AA17" s="71">
        <f t="shared" si="19"/>
        <v>165</v>
      </c>
      <c r="AB17" s="74">
        <f t="shared" si="20"/>
        <v>165</v>
      </c>
      <c r="AC17" s="73">
        <f>(INDEX(Input_disp_check!$P$42:$P$58, MATCH(B17,Input_disp_check!$B$42:$B$58,0)))/INDEX(profile_H!$K$6:$K$17,MATCH(E17, profile_H!$C$6:$C$17, 0))</f>
        <v>65.446922669491514</v>
      </c>
      <c r="AD17" s="75">
        <f>(INDEX(Input_disp_check!$N$42:$N$58, MATCH(B17,Input_disp_check!$B$42:$B$58,0)))/INDEX(profile_H!$K$6:$K$17,MATCH(E17, profile_H!$C$6:$C$17, 0))</f>
        <v>18.699120762711864</v>
      </c>
      <c r="AE17" s="78">
        <f>MIN(0.75*Input_disp_check!$C$6,0.63*Input_disp_check!$C$7)</f>
        <v>206.25</v>
      </c>
      <c r="AF17" s="79">
        <f>(INDEX(Input_disp_check!$Q$42:$Q$58, MATCH(B17,Input_disp_check!$B$42:$B$58,0)))/INDEX(profile_H!$N$6:$N$17, MATCH(E17, profile_H!$C$6:$C$17, 0))</f>
        <v>91.937343749999997</v>
      </c>
      <c r="AG17" s="80">
        <f>12*PI()^2*Input_disp_check!$C$8/(23*(G17*C17/INDEX(profile_H!$L$6:$L$17, MATCH(E17, profile_H!$C$6:$C$17, 0)))^2)</f>
        <v>321.40081457668981</v>
      </c>
      <c r="AH17" s="81">
        <f>12*PI()^2*Input_disp_check!$C$8/(23*(G17*C17/INDEX(profile_H!$O$6:$O$17, MATCH(E17, profile_H!$C$6:$C$17, 0)))^2)</f>
        <v>109.00335764313304</v>
      </c>
      <c r="AI17" s="82">
        <v>0.85</v>
      </c>
      <c r="AJ17" s="83">
        <f t="shared" si="21"/>
        <v>0.54123309606769898</v>
      </c>
      <c r="AK17" s="83">
        <f>(M17/(0.6*Input_disp_check!$C$6))+(AD17/AB17)+(AF17/AE17)</f>
        <v>0.58715073296844578</v>
      </c>
      <c r="AL17" s="83">
        <f t="shared" si="22"/>
        <v>0.60687656720589533</v>
      </c>
      <c r="AM17" s="169">
        <f t="shared" si="23"/>
        <v>0.60687656720589533</v>
      </c>
      <c r="AN17" s="156" t="str">
        <f t="shared" si="24"/>
        <v>OK</v>
      </c>
      <c r="AO17" s="83">
        <f t="shared" si="25"/>
        <v>0.38987138232569934</v>
      </c>
      <c r="AP17" s="83">
        <f>(M17/(0.6*Input_disp_check!$C$6))+(AC17/AB17)</f>
        <v>0.42471392634286792</v>
      </c>
      <c r="AQ17" s="83">
        <f t="shared" si="26"/>
        <v>0.44443976058031748</v>
      </c>
      <c r="AR17" s="169">
        <f t="shared" si="27"/>
        <v>0.44443976058031748</v>
      </c>
      <c r="AS17" s="157" t="str">
        <f t="shared" si="28"/>
        <v>OK</v>
      </c>
      <c r="AT17" s="78">
        <f>MIN(0.4*Input_disp_check!$C$6,0.33*Input_disp_check!$C$7)</f>
        <v>110</v>
      </c>
      <c r="AU17" s="86">
        <f>(INDEX(Input_disp_check!$I$42:$I$58, MATCH(B17,Input_disp_check!$B$42:$B$58,0)))/INDEX(profile_H!$T$6:$T$17, MATCH(E17, profile_H!$C$6:$C$17, 0))</f>
        <v>18.387468749999996</v>
      </c>
      <c r="AV17" s="169">
        <f t="shared" si="29"/>
        <v>0.16715880681818179</v>
      </c>
      <c r="AW17" s="157" t="str">
        <f t="shared" si="30"/>
        <v>OK</v>
      </c>
      <c r="AX17" s="52"/>
      <c r="AY17" s="10"/>
      <c r="AZ17" s="10"/>
      <c r="BA17" s="10"/>
      <c r="BB17" s="10"/>
      <c r="BC17" s="10"/>
      <c r="BD17" s="10"/>
    </row>
    <row r="18" spans="2:56" s="12" customFormat="1" ht="15" customHeight="1" x14ac:dyDescent="0.15">
      <c r="B18" s="96">
        <v>5</v>
      </c>
      <c r="C18" s="87">
        <f>(INDEX(Input_disp_check!$C$42:$C$58, MATCH(B18,Input_disp_check!$B$42:$B$58,0)))</f>
        <v>2500</v>
      </c>
      <c r="D18" s="132" t="str">
        <f>(INDEX(Input_disp_check!$D$42:$D$58, MATCH(B18,Input_disp_check!$B$42:$B$58,0)))</f>
        <v>H -</v>
      </c>
      <c r="E18" s="133">
        <f>(INDEX(Input_disp_check!$E$42:$E$58, MATCH(B18,Input_disp_check!$B$42:$B$58,0)))</f>
        <v>150</v>
      </c>
      <c r="F18" s="72">
        <f>SQRT(2*PI()^2*Input_disp_check!$C$8/Input_disp_check!$C$6)</f>
        <v>122.77449910610369</v>
      </c>
      <c r="G18" s="136">
        <v>2</v>
      </c>
      <c r="H18" s="73">
        <f>G18*C18/(INDEX(profile_H!$O$6:$O$17, MATCH(E18, profile_H!$C$6:$C$17, 0)))</f>
        <v>133.33333333333334</v>
      </c>
      <c r="I18" s="73" t="str">
        <f t="shared" si="0"/>
        <v>OK</v>
      </c>
      <c r="J18" s="73">
        <f>12*PI()^2*Input_disp_check!$C$8/(23*H18^2)</f>
        <v>60.826801037148527</v>
      </c>
      <c r="K18" s="73">
        <f>(1-H18^2/(2*F18^2))*Input_disp_check!$C$6 / ((5/3) + (3*H18/(8*F18))-(H18^3/(8*F18^3)))</f>
        <v>58.956891572814115</v>
      </c>
      <c r="L18" s="74">
        <f t="shared" si="16"/>
        <v>60.826801037148527</v>
      </c>
      <c r="M18" s="75">
        <f>(INDEX(Input_disp_check!$I$42:$I$58, MATCH(B18,Input_disp_check!$B$42:$B$58,0)))/(INDEX(profile_H!$H$6:$H$17, MATCH(E18, profile_H!$C$6:$C$17, 0)))</f>
        <v>2.5652671898355757</v>
      </c>
      <c r="N18" s="76" t="str">
        <f>IF(M18/Input_disp_check!$C$6&lt;=0.16,"OK","Warning")</f>
        <v>OK</v>
      </c>
      <c r="O18" s="73">
        <f>200*(INDEX(profile_H!$D$6:$D$17, MATCH(E18, profile_H!$C$6:$C$17, 0)))/SQRT(Input_disp_check!$C$6)</f>
        <v>1809.0680674665816</v>
      </c>
      <c r="P18" s="73">
        <f>138000/(E18/((INDEX(profile_H!$D$6:$D$17, MATCH(E18, profile_H!$C$6:$C$17, 0)))*(INDEX(profile_H!$F$6:$F$17, MATCH(E18, profile_H!$C$6:$C$17, 0))))*Input_disp_check!$C$6)</f>
        <v>5018.181818181818</v>
      </c>
      <c r="Q18" s="74">
        <f t="shared" si="17"/>
        <v>1809.0680674665816</v>
      </c>
      <c r="R18" s="73">
        <f>INDEX(profile_H!$I$6:$I$17, MATCH(E18, profile_H!$C$6:$C$17, 0))</f>
        <v>41.26984839825154</v>
      </c>
      <c r="S18" s="73">
        <f t="shared" si="18"/>
        <v>60.57691261366292</v>
      </c>
      <c r="T18" s="73">
        <f>(703.3*1000*V18/Input_disp_check!$C$6)^0.5</f>
        <v>50.571281825306201</v>
      </c>
      <c r="U18" s="73">
        <f>(3516*1000*V18/Input_disp_check!$C$6)^0.5</f>
        <v>113.07278428275544</v>
      </c>
      <c r="V18" s="77">
        <v>1</v>
      </c>
      <c r="W18" s="71">
        <f>MIN(0.66*Input_disp_check!$C$6, 0.55*Input_disp_check!$C$7)</f>
        <v>181.5</v>
      </c>
      <c r="X18" s="73">
        <f>MIN(((2/3)-(Input_disp_check!$C$6*(C18/R18)^2 / (10550 * 1000*V18))),0.6) * Input_disp_check!$C$6</f>
        <v>157.02900612016947</v>
      </c>
      <c r="Y18" s="73">
        <f>MIN((1172*1000*V18)/(C18/R18)^2, 0.6*Input_disp_check!$C$6)</f>
        <v>165</v>
      </c>
      <c r="Z18" s="73">
        <f>MIN((82740*V18)/(C18*E18/INDEX(profile_H!$U$6:$U$17, MATCH(E18, profile_H!$C$6:$C$17, 0))), 0.6*Input_disp_check!$C$6)</f>
        <v>165</v>
      </c>
      <c r="AA18" s="71">
        <f t="shared" si="19"/>
        <v>165</v>
      </c>
      <c r="AB18" s="74">
        <f t="shared" si="20"/>
        <v>165</v>
      </c>
      <c r="AC18" s="73">
        <f>(INDEX(Input_disp_check!$P$42:$P$58, MATCH(B18,Input_disp_check!$B$42:$B$58,0)))/INDEX(profile_H!$K$6:$K$17,MATCH(E18, profile_H!$C$6:$C$17, 0))</f>
        <v>49.369094178082193</v>
      </c>
      <c r="AD18" s="75">
        <f>(INDEX(Input_disp_check!$N$42:$N$58, MATCH(B18,Input_disp_check!$B$42:$B$58,0)))/INDEX(profile_H!$K$6:$K$17,MATCH(E18, profile_H!$C$6:$C$17, 0))</f>
        <v>14.105455479452054</v>
      </c>
      <c r="AE18" s="78">
        <f>MIN(0.75*Input_disp_check!$C$6,0.63*Input_disp_check!$C$7)</f>
        <v>206.25</v>
      </c>
      <c r="AF18" s="79">
        <f>(INDEX(Input_disp_check!$Q$42:$Q$58, MATCH(B18,Input_disp_check!$B$42:$B$58,0)))/INDEX(profile_H!$N$6:$N$17, MATCH(E18, profile_H!$C$6:$C$17, 0))</f>
        <v>68.555143142476695</v>
      </c>
      <c r="AG18" s="80">
        <f>12*PI()^2*Input_disp_check!$C$8/(23*(G18*C18/INDEX(profile_H!$L$6:$L$17, MATCH(E18, profile_H!$C$6:$C$17, 0)))^2)</f>
        <v>176.61767272028109</v>
      </c>
      <c r="AH18" s="81">
        <f>12*PI()^2*Input_disp_check!$C$8/(23*(G18*C18/INDEX(profile_H!$O$6:$O$17, MATCH(E18, profile_H!$C$6:$C$17, 0)))^2)</f>
        <v>60.826801037148527</v>
      </c>
      <c r="AI18" s="82">
        <v>0.85</v>
      </c>
      <c r="AJ18" s="83">
        <f t="shared" si="21"/>
        <v>0.41087888833895814</v>
      </c>
      <c r="AK18" s="83">
        <f>(M18/(0.6*Input_disp_check!$C$6))+(AD18/AB18)+(AF18/AE18)</f>
        <v>0.43342325565617568</v>
      </c>
      <c r="AL18" s="83">
        <f t="shared" si="22"/>
        <v>0.46004948608003415</v>
      </c>
      <c r="AM18" s="169">
        <f t="shared" si="23"/>
        <v>0.46004948608003415</v>
      </c>
      <c r="AN18" s="156" t="str">
        <f t="shared" si="24"/>
        <v>OK</v>
      </c>
      <c r="AO18" s="83">
        <f t="shared" si="25"/>
        <v>0.3002473132516702</v>
      </c>
      <c r="AP18" s="83">
        <f>(M18/(0.6*Input_disp_check!$C$6))+(AC18/AB18)</f>
        <v>0.31475370526010771</v>
      </c>
      <c r="AQ18" s="83">
        <f t="shared" si="26"/>
        <v>0.34137993568396618</v>
      </c>
      <c r="AR18" s="169">
        <f t="shared" si="27"/>
        <v>0.34137993568396618</v>
      </c>
      <c r="AS18" s="157" t="str">
        <f t="shared" si="28"/>
        <v>OK</v>
      </c>
      <c r="AT18" s="78">
        <f>MIN(0.4*Input_disp_check!$C$6,0.33*Input_disp_check!$C$7)</f>
        <v>110</v>
      </c>
      <c r="AU18" s="86">
        <f>(INDEX(Input_disp_check!$I$42:$I$58, MATCH(B18,Input_disp_check!$B$42:$B$58,0)))/INDEX(profile_H!$T$6:$T$17, MATCH(E18, profile_H!$C$6:$C$17, 0))</f>
        <v>9.8066499999999994</v>
      </c>
      <c r="AV18" s="169">
        <f t="shared" si="29"/>
        <v>8.9151363636363626E-2</v>
      </c>
      <c r="AW18" s="157" t="str">
        <f t="shared" si="30"/>
        <v>OK</v>
      </c>
      <c r="AX18" s="52"/>
      <c r="AY18" s="10"/>
      <c r="AZ18" s="10"/>
      <c r="BA18" s="10"/>
      <c r="BB18" s="10"/>
      <c r="BC18" s="10"/>
      <c r="BD18" s="10"/>
    </row>
    <row r="19" spans="2:56" s="12" customFormat="1" ht="15" customHeight="1" x14ac:dyDescent="0.15">
      <c r="B19" s="96">
        <v>6</v>
      </c>
      <c r="C19" s="87">
        <f>(INDEX(Input_disp_check!$C$42:$C$58, MATCH(B19,Input_disp_check!$B$42:$B$58,0)))</f>
        <v>2500</v>
      </c>
      <c r="D19" s="132" t="str">
        <f>(INDEX(Input_disp_check!$D$42:$D$58, MATCH(B19,Input_disp_check!$B$42:$B$58,0)))</f>
        <v>H -</v>
      </c>
      <c r="E19" s="133">
        <f>(INDEX(Input_disp_check!$E$42:$E$58, MATCH(B19,Input_disp_check!$B$42:$B$58,0)))</f>
        <v>125</v>
      </c>
      <c r="F19" s="72">
        <f>SQRT(2*PI()^2*Input_disp_check!$C$8/Input_disp_check!$C$6)</f>
        <v>122.77449910610369</v>
      </c>
      <c r="G19" s="136">
        <v>2</v>
      </c>
      <c r="H19" s="73">
        <f>G19*C19/(INDEX(profile_H!$O$6:$O$17, MATCH(E19, profile_H!$C$6:$C$17, 0)))</f>
        <v>160.77170418006429</v>
      </c>
      <c r="I19" s="73" t="str">
        <f t="shared" si="0"/>
        <v>OK</v>
      </c>
      <c r="J19" s="73">
        <f>12*PI()^2*Input_disp_check!$C$8/(23*H19^2)</f>
        <v>41.836295275477653</v>
      </c>
      <c r="K19" s="73">
        <f>(1-H19^2/(2*F19^2))*Input_disp_check!$C$6 / ((5/3) + (3*H19/(8*F19))-(H19^3/(8*F19^3)))</f>
        <v>20.89496789568242</v>
      </c>
      <c r="L19" s="74">
        <f t="shared" ref="L19" si="45">IF(H19&lt;F19,K19,J19)</f>
        <v>41.836295275477653</v>
      </c>
      <c r="M19" s="75">
        <f>(INDEX(Input_disp_check!$I$42:$I$58, MATCH(B19,Input_disp_check!$B$42:$B$58,0)))/(INDEX(profile_H!$H$6:$H$17, MATCH(E19, profile_H!$C$6:$C$17, 0)))</f>
        <v>1.7794976905311777</v>
      </c>
      <c r="N19" s="76" t="str">
        <f>IF(M19/Input_disp_check!$C$6&lt;=0.16,"OK","Warning")</f>
        <v>OK</v>
      </c>
      <c r="O19" s="73">
        <f>200*(INDEX(profile_H!$D$6:$D$17, MATCH(E19, profile_H!$C$6:$C$17, 0)))/SQRT(Input_disp_check!$C$6)</f>
        <v>1507.5567228888181</v>
      </c>
      <c r="P19" s="73">
        <f>138000/(E19/((INDEX(profile_H!$D$6:$D$17, MATCH(E19, profile_H!$C$6:$C$17, 0)))*(INDEX(profile_H!$F$6:$F$17, MATCH(E19, profile_H!$C$6:$C$17, 0))))*Input_disp_check!$C$6)</f>
        <v>4516.3636363636369</v>
      </c>
      <c r="Q19" s="74">
        <f t="shared" ref="Q19" si="46">MIN(O19:P19)</f>
        <v>1507.5567228888181</v>
      </c>
      <c r="R19" s="73">
        <f>INDEX(profile_H!$I$6:$I$17, MATCH(E19, profile_H!$C$6:$C$17, 0))</f>
        <v>34.362506408833305</v>
      </c>
      <c r="S19" s="73">
        <f t="shared" ref="S19" si="47">(C19)/R19</f>
        <v>72.753715059543623</v>
      </c>
      <c r="T19" s="73">
        <f>(703.3*1000*V19/Input_disp_check!$C$6)^0.5</f>
        <v>50.571281825306201</v>
      </c>
      <c r="U19" s="73">
        <f>(3516*1000*V19/Input_disp_check!$C$6)^0.5</f>
        <v>113.07278428275544</v>
      </c>
      <c r="V19" s="77">
        <v>1</v>
      </c>
      <c r="W19" s="71">
        <f>MIN(0.66*Input_disp_check!$C$6, 0.55*Input_disp_check!$C$7)</f>
        <v>181.5</v>
      </c>
      <c r="X19" s="73">
        <f>MIN(((2/3)-(Input_disp_check!$C$6*(C19/R19)^2 / (10550 * 1000*V19))),0.6) * Input_disp_check!$C$6</f>
        <v>145.39106617392594</v>
      </c>
      <c r="Y19" s="73">
        <f>MIN((1172*1000*V19)/(C19/R19)^2, 0.6*Input_disp_check!$C$6)</f>
        <v>165</v>
      </c>
      <c r="Z19" s="73">
        <f>MIN((82740*V19)/(C19*E19/INDEX(profile_H!$U$6:$U$17, MATCH(E19, profile_H!$C$6:$C$17, 0))), 0.6*Input_disp_check!$C$6)</f>
        <v>165</v>
      </c>
      <c r="AA19" s="71">
        <f t="shared" ref="AA19" si="48">MAX(IF(S19&gt;=T19,IF(S19&lt;=U19,X19,Y19), Z19),Z19)</f>
        <v>165</v>
      </c>
      <c r="AB19" s="74">
        <f t="shared" ref="AB19" si="49">IF(C19&gt;Q19,AA19,W19)</f>
        <v>165</v>
      </c>
      <c r="AC19" s="73">
        <f>(INDEX(Input_disp_check!$P$42:$P$58, MATCH(B19,Input_disp_check!$B$42:$B$58,0)))/INDEX(profile_H!$K$6:$K$17,MATCH(E19, profile_H!$C$6:$C$17, 0))</f>
        <v>41.642208639705878</v>
      </c>
      <c r="AD19" s="75">
        <f>(INDEX(Input_disp_check!$N$42:$N$58, MATCH(B19,Input_disp_check!$B$42:$B$58,0)))/INDEX(profile_H!$K$6:$K$17,MATCH(E19, profile_H!$C$6:$C$17, 0))</f>
        <v>11.897773897058821</v>
      </c>
      <c r="AE19" s="78">
        <f>MIN(0.75*Input_disp_check!$C$6,0.63*Input_disp_check!$C$7)</f>
        <v>206.25</v>
      </c>
      <c r="AF19" s="79">
        <f>(INDEX(Input_disp_check!$Q$42:$Q$58, MATCH(B19,Input_disp_check!$B$42:$B$58,0)))/INDEX(profile_H!$N$6:$N$17, MATCH(E19, profile_H!$C$6:$C$17, 0))</f>
        <v>57.379335106382968</v>
      </c>
      <c r="AG19" s="80">
        <f>12*PI()^2*Input_disp_check!$C$8/(23*(G19*C19/INDEX(profile_H!$L$6:$L$17, MATCH(E19, profile_H!$C$6:$C$17, 0)))^2)</f>
        <v>121.04414456203865</v>
      </c>
      <c r="AH19" s="81">
        <f>12*PI()^2*Input_disp_check!$C$8/(23*(G19*C19/INDEX(profile_H!$O$6:$O$17, MATCH(E19, profile_H!$C$6:$C$17, 0)))^2)</f>
        <v>41.836295275477653</v>
      </c>
      <c r="AI19" s="82">
        <v>0.85</v>
      </c>
      <c r="AJ19" s="83">
        <f t="shared" ref="AJ19" si="50">(M19/L19)+(AI19*AD19/((1-M19/AG19)*AB19))+(AI19*AF19/((1-M19/AH19)*AE19))</f>
        <v>0.35171839738155303</v>
      </c>
      <c r="AK19" s="83">
        <f>(M19/(0.6*Input_disp_check!$C$6))+(AD19/AB19)+(AF19/AE19)</f>
        <v>0.36109539195573559</v>
      </c>
      <c r="AL19" s="83">
        <f t="shared" ref="AL19" si="51">(M19/L19)+(AD19/AB19)+(AF19/AE19)</f>
        <v>0.39284533925974091</v>
      </c>
      <c r="AM19" s="169">
        <f t="shared" ref="AM19" si="52">IF(M19/L19&lt;=0.15,AL19,MAX(AJ19,AK19))</f>
        <v>0.39284533925974091</v>
      </c>
      <c r="AN19" s="156" t="str">
        <f t="shared" ref="AN19" si="53">IF(AM19&lt;=1,"OK","NG")</f>
        <v>OK</v>
      </c>
      <c r="AO19" s="83">
        <f t="shared" ref="AO19" si="54">(M19/L19)+(AI19*AC19/((1-M19/AG19)*AB19))</f>
        <v>0.26025602033199713</v>
      </c>
      <c r="AP19" s="83">
        <f>(M19/(0.6*Input_disp_check!$C$6))+(AC19/AB19)</f>
        <v>0.26316185654689123</v>
      </c>
      <c r="AQ19" s="83">
        <f t="shared" ref="AQ19" si="55">(M19/L19)+(AC19/AB19)</f>
        <v>0.29491180385089655</v>
      </c>
      <c r="AR19" s="169">
        <f t="shared" ref="AR19" si="56">IF(M19/L19&lt;=0.15,AQ19,MAX(AO19,AP19))</f>
        <v>0.29491180385089655</v>
      </c>
      <c r="AS19" s="157" t="str">
        <f t="shared" ref="AS19" si="57">IF(AR19&lt;=1,"OK","NG")</f>
        <v>OK</v>
      </c>
      <c r="AT19" s="78">
        <f>MIN(0.4*Input_disp_check!$C$6,0.33*Input_disp_check!$C$7)</f>
        <v>110</v>
      </c>
      <c r="AU19" s="86">
        <f>(INDEX(Input_disp_check!$I$42:$I$58, MATCH(B19,Input_disp_check!$B$42:$B$58,0)))/INDEX(profile_H!$T$6:$T$17, MATCH(E19, profile_H!$C$6:$C$17, 0))</f>
        <v>6.6383476923076916</v>
      </c>
      <c r="AV19" s="169">
        <f t="shared" ref="AV19" si="58">AU19/AT19</f>
        <v>6.0348615384615376E-2</v>
      </c>
      <c r="AW19" s="157" t="str">
        <f t="shared" ref="AW19" si="59">IF(AV19&lt;=1,"OK","NG")</f>
        <v>OK</v>
      </c>
      <c r="AX19" s="52"/>
      <c r="AY19" s="10"/>
      <c r="AZ19" s="10"/>
      <c r="BA19" s="10"/>
      <c r="BB19" s="10"/>
      <c r="BC19" s="10"/>
      <c r="BD19" s="10"/>
    </row>
    <row r="20" spans="2:56" s="12" customFormat="1" ht="15" customHeight="1" x14ac:dyDescent="0.15">
      <c r="B20" s="96">
        <v>7</v>
      </c>
      <c r="C20" s="87">
        <f>(INDEX(Input_disp_check!$C$42:$C$58, MATCH(B20,Input_disp_check!$B$42:$B$58,0)))</f>
        <v>2100</v>
      </c>
      <c r="D20" s="132" t="str">
        <f>(INDEX(Input_disp_check!$D$42:$D$58, MATCH(B20,Input_disp_check!$B$42:$B$58,0)))</f>
        <v>H -</v>
      </c>
      <c r="E20" s="133">
        <f>(INDEX(Input_disp_check!$E$42:$E$58, MATCH(B20,Input_disp_check!$B$42:$B$58,0)))</f>
        <v>200</v>
      </c>
      <c r="F20" s="72">
        <f>SQRT(2*PI()^2*Input_disp_check!$C$8/Input_disp_check!$C$6)</f>
        <v>122.77449910610369</v>
      </c>
      <c r="G20" s="136">
        <v>2</v>
      </c>
      <c r="H20" s="73">
        <f>G20*C20/(INDEX(profile_H!$O$6:$O$17, MATCH(E20, profile_H!$C$6:$C$17, 0)))</f>
        <v>83.665338645418316</v>
      </c>
      <c r="I20" s="73" t="str">
        <f t="shared" si="0"/>
        <v>OK</v>
      </c>
      <c r="J20" s="73">
        <f>12*PI()^2*Input_disp_check!$C$8/(23*H20^2)</f>
        <v>154.48321661441759</v>
      </c>
      <c r="K20" s="73">
        <f>(1-H20^2/(2*F20^2))*Input_disp_check!$C$6 / ((5/3) + (3*H20/(8*F20))-(H20^3/(8*F20^3)))</f>
        <v>112.15411241947757</v>
      </c>
      <c r="L20" s="74">
        <f t="shared" ref="L20" si="60">IF(H20&lt;F20,K20,J20)</f>
        <v>112.15411241947757</v>
      </c>
      <c r="M20" s="75">
        <f>(INDEX(Input_disp_check!$I$42:$I$58, MATCH(B20,Input_disp_check!$B$42:$B$58,0)))/(INDEX(profile_H!$H$6:$H$17, MATCH(E20, profile_H!$C$6:$C$17, 0)))</f>
        <v>5.9429564772548407</v>
      </c>
      <c r="N20" s="76" t="str">
        <f>IF(M20/Input_disp_check!$C$6&lt;=0.16,"OK","Warning")</f>
        <v>OK</v>
      </c>
      <c r="O20" s="73">
        <f>200*(INDEX(profile_H!$D$6:$D$17, MATCH(E20, profile_H!$C$6:$C$17, 0)))/SQRT(Input_disp_check!$C$6)</f>
        <v>2412.0907566221085</v>
      </c>
      <c r="P20" s="73">
        <f>138000/(E20/((INDEX(profile_H!$D$6:$D$17, MATCH(E20, profile_H!$C$6:$C$17, 0)))*(INDEX(profile_H!$F$6:$F$17, MATCH(E20, profile_H!$C$6:$C$17, 0))))*Input_disp_check!$C$6)</f>
        <v>6021.8181818181829</v>
      </c>
      <c r="Q20" s="74">
        <f t="shared" ref="Q20" si="61">MIN(O20:P20)</f>
        <v>2412.0907566221085</v>
      </c>
      <c r="R20" s="73">
        <f>INDEX(profile_H!$I$6:$I$17, MATCH(E20, profile_H!$C$6:$C$17, 0))</f>
        <v>55.10818705693152</v>
      </c>
      <c r="S20" s="73">
        <f t="shared" ref="S20" si="62">(C20)/R20</f>
        <v>38.106860561943698</v>
      </c>
      <c r="T20" s="73">
        <f>(703.3*1000*V20/Input_disp_check!$C$6)^0.5</f>
        <v>50.571281825306201</v>
      </c>
      <c r="U20" s="73">
        <f>(3516*1000*V20/Input_disp_check!$C$6)^0.5</f>
        <v>113.07278428275544</v>
      </c>
      <c r="V20" s="77">
        <v>1</v>
      </c>
      <c r="W20" s="71">
        <f>MIN(0.66*Input_disp_check!$C$6, 0.55*Input_disp_check!$C$7)</f>
        <v>181.5</v>
      </c>
      <c r="X20" s="73">
        <f>MIN(((2/3)-(Input_disp_check!$C$6*(C20/R20)^2 / (10550 * 1000*V20))),0.6) * Input_disp_check!$C$6</f>
        <v>165</v>
      </c>
      <c r="Y20" s="73">
        <f>MIN((1172*1000*V20)/(C20/R20)^2, 0.6*Input_disp_check!$C$6)</f>
        <v>165</v>
      </c>
      <c r="Z20" s="73">
        <f>MIN((82740*V20)/(C20*E20/INDEX(profile_H!$U$6:$U$17, MATCH(E20, profile_H!$C$6:$C$17, 0))), 0.6*Input_disp_check!$C$6)</f>
        <v>165</v>
      </c>
      <c r="AA20" s="71">
        <f t="shared" ref="AA20" si="63">MAX(IF(S20&gt;=T20,IF(S20&lt;=U20,X20,Y20), Z20),Z20)</f>
        <v>165</v>
      </c>
      <c r="AB20" s="74">
        <f t="shared" ref="AB20" si="64">IF(C20&gt;Q20,AA20,W20)</f>
        <v>181.5</v>
      </c>
      <c r="AC20" s="73">
        <f>(INDEX(Input_disp_check!$P$42:$P$58, MATCH(B20,Input_disp_check!$B$42:$B$58,0)))/INDEX(profile_H!$K$6:$K$17,MATCH(E20, profile_H!$C$6:$C$17, 0))</f>
        <v>74.391335434322045</v>
      </c>
      <c r="AD20" s="75">
        <f>(INDEX(Input_disp_check!$N$42:$N$58, MATCH(B20,Input_disp_check!$B$42:$B$58,0)))/INDEX(profile_H!$K$6:$K$17,MATCH(E20, profile_H!$C$6:$C$17, 0))</f>
        <v>23.99720497881356</v>
      </c>
      <c r="AE20" s="78">
        <f>MIN(0.75*Input_disp_check!$C$6,0.63*Input_disp_check!$C$7)</f>
        <v>206.25</v>
      </c>
      <c r="AF20" s="79">
        <f>(INDEX(Input_disp_check!$Q$42:$Q$58, MATCH(B20,Input_disp_check!$B$42:$B$58,0)))/INDEX(profile_H!$N$6:$N$17, MATCH(E20, profile_H!$C$6:$C$17, 0))</f>
        <v>99.10845656250001</v>
      </c>
      <c r="AG20" s="80">
        <f>12*PI()^2*Input_disp_check!$C$8/(23*(G20*C20/INDEX(profile_H!$L$6:$L$17, MATCH(E20, profile_H!$C$6:$C$17, 0)))^2)</f>
        <v>455.50002065857404</v>
      </c>
      <c r="AH20" s="81">
        <f>12*PI()^2*Input_disp_check!$C$8/(23*(G20*C20/INDEX(profile_H!$O$6:$O$17, MATCH(E20, profile_H!$C$6:$C$17, 0)))^2)</f>
        <v>154.48321661441759</v>
      </c>
      <c r="AI20" s="82">
        <v>0.85</v>
      </c>
      <c r="AJ20" s="83">
        <f t="shared" ref="AJ20" si="65">(M20/L20)+(AI20*AD20/((1-M20/AG20)*AB20))+(AI20*AF20/((1-M20/AH20)*AE20))</f>
        <v>0.59164701967646716</v>
      </c>
      <c r="AK20" s="83">
        <f>(M20/(0.6*Input_disp_check!$C$6))+(AD20/AB20)+(AF20/AE20)</f>
        <v>0.64875977343688096</v>
      </c>
      <c r="AL20" s="83">
        <f t="shared" ref="AL20" si="66">(M20/L20)+(AD20/AB20)+(AF20/AE20)</f>
        <v>0.66573105346196793</v>
      </c>
      <c r="AM20" s="169">
        <f t="shared" ref="AM20" si="67">IF(M20/L20&lt;=0.15,AL20,MAX(AJ20,AK20))</f>
        <v>0.66573105346196793</v>
      </c>
      <c r="AN20" s="156" t="str">
        <f t="shared" ref="AN20" si="68">IF(AM20&lt;=1,"OK","NG")</f>
        <v>OK</v>
      </c>
      <c r="AO20" s="83">
        <f t="shared" ref="AO20" si="69">(M20/L20)+(AI20*AC20/((1-M20/AG20)*AB20))</f>
        <v>0.40598393153857859</v>
      </c>
      <c r="AP20" s="83">
        <f>(M20/(0.6*Input_disp_check!$C$6))+(AC20/AB20)</f>
        <v>0.44588753476199655</v>
      </c>
      <c r="AQ20" s="83">
        <f t="shared" ref="AQ20" si="70">(M20/L20)+(AC20/AB20)</f>
        <v>0.46285881478708352</v>
      </c>
      <c r="AR20" s="169">
        <f t="shared" ref="AR20" si="71">IF(M20/L20&lt;=0.15,AQ20,MAX(AO20,AP20))</f>
        <v>0.46285881478708352</v>
      </c>
      <c r="AS20" s="157" t="str">
        <f t="shared" ref="AS20" si="72">IF(AR20&lt;=1,"OK","NG")</f>
        <v>OK</v>
      </c>
      <c r="AT20" s="78">
        <f>MIN(0.4*Input_disp_check!$C$6,0.33*Input_disp_check!$C$7)</f>
        <v>110</v>
      </c>
      <c r="AU20" s="86">
        <f>(INDEX(Input_disp_check!$I$42:$I$58, MATCH(B20,Input_disp_check!$B$42:$B$58,0)))/INDEX(profile_H!$T$6:$T$17, MATCH(E20, profile_H!$C$6:$C$17, 0))</f>
        <v>23.597251562500002</v>
      </c>
      <c r="AV20" s="169">
        <f t="shared" ref="AV20" si="73">AU20/AT20</f>
        <v>0.21452046875000003</v>
      </c>
      <c r="AW20" s="157" t="str">
        <f t="shared" ref="AW20" si="74">IF(AV20&lt;=1,"OK","NG")</f>
        <v>OK</v>
      </c>
      <c r="AX20" s="52"/>
      <c r="AY20" s="10"/>
      <c r="AZ20" s="10"/>
      <c r="BA20" s="10"/>
      <c r="BB20" s="10"/>
      <c r="BC20" s="10"/>
      <c r="BD20" s="10"/>
    </row>
    <row r="21" spans="2:56" s="12" customFormat="1" ht="15" customHeight="1" x14ac:dyDescent="0.15">
      <c r="B21" s="96">
        <v>8</v>
      </c>
      <c r="C21" s="87">
        <f>(INDEX(Input_disp_check!$C$42:$C$58, MATCH(B21,Input_disp_check!$B$42:$B$58,0)))</f>
        <v>2100</v>
      </c>
      <c r="D21" s="132" t="str">
        <f>(INDEX(Input_disp_check!$D$42:$D$58, MATCH(B21,Input_disp_check!$B$42:$B$58,0)))</f>
        <v>H -</v>
      </c>
      <c r="E21" s="133">
        <f>(INDEX(Input_disp_check!$E$42:$E$58, MATCH(B21,Input_disp_check!$B$42:$B$58,0)))</f>
        <v>150</v>
      </c>
      <c r="F21" s="72">
        <f>SQRT(2*PI()^2*Input_disp_check!$C$8/Input_disp_check!$C$6)</f>
        <v>122.77449910610369</v>
      </c>
      <c r="G21" s="136">
        <v>2</v>
      </c>
      <c r="H21" s="73">
        <f>G21*C21/(INDEX(profile_H!$O$6:$O$17, MATCH(E21, profile_H!$C$6:$C$17, 0)))</f>
        <v>112</v>
      </c>
      <c r="I21" s="73" t="str">
        <f t="shared" ref="I21:I28" si="75">IF(H21&gt;200, "N.G","OK")</f>
        <v>OK</v>
      </c>
      <c r="J21" s="73">
        <f>12*PI()^2*Input_disp_check!$C$8/(23*H21^2)</f>
        <v>86.20578378280689</v>
      </c>
      <c r="K21" s="73">
        <f>(1-H21^2/(2*F21^2))*Input_disp_check!$C$6 / ((5/3) + (3*H21/(8*F21))-(H21^3/(8*F21^3)))</f>
        <v>83.900782819656271</v>
      </c>
      <c r="L21" s="74">
        <f t="shared" si="1"/>
        <v>83.900782819656271</v>
      </c>
      <c r="M21" s="75">
        <f>(INDEX(Input_disp_check!$I$42:$I$58, MATCH(B21,Input_disp_check!$B$42:$B$58,0)))/(INDEX(profile_H!$H$6:$H$17, MATCH(E21, profile_H!$C$6:$C$17, 0)))</f>
        <v>3.2982006726457396</v>
      </c>
      <c r="N21" s="76" t="str">
        <f>IF(M21/Input_disp_check!$C$6&lt;=0.16,"OK","Warning")</f>
        <v>OK</v>
      </c>
      <c r="O21" s="73">
        <f>200*(INDEX(profile_H!$D$6:$D$17, MATCH(E21, profile_H!$C$6:$C$17, 0)))/SQRT(Input_disp_check!$C$6)</f>
        <v>1809.0680674665816</v>
      </c>
      <c r="P21" s="73">
        <f>138000/(E21/((INDEX(profile_H!$D$6:$D$17, MATCH(E21, profile_H!$C$6:$C$17, 0)))*(INDEX(profile_H!$F$6:$F$17, MATCH(E21, profile_H!$C$6:$C$17, 0))))*Input_disp_check!$C$6)</f>
        <v>5018.181818181818</v>
      </c>
      <c r="Q21" s="74">
        <f t="shared" si="2"/>
        <v>1809.0680674665816</v>
      </c>
      <c r="R21" s="73">
        <f>INDEX(profile_H!$I$6:$I$17, MATCH(E21, profile_H!$C$6:$C$17, 0))</f>
        <v>41.26984839825154</v>
      </c>
      <c r="S21" s="73">
        <f t="shared" si="3"/>
        <v>50.884606595476846</v>
      </c>
      <c r="T21" s="73">
        <f>(703.3*1000*V21/Input_disp_check!$C$6)^0.5</f>
        <v>50.571281825306201</v>
      </c>
      <c r="U21" s="73">
        <f>(3516*1000*V21/Input_disp_check!$C$6)^0.5</f>
        <v>113.07278428275544</v>
      </c>
      <c r="V21" s="77">
        <v>1</v>
      </c>
      <c r="W21" s="71">
        <f>MIN(0.66*Input_disp_check!$C$6, 0.55*Input_disp_check!$C$7)</f>
        <v>181.5</v>
      </c>
      <c r="X21" s="73">
        <f>MIN(((2/3)-(Input_disp_check!$C$6*(C21/R21)^2 / (10550 * 1000*V21))),0.6) * Input_disp_check!$C$6</f>
        <v>164.77300005172492</v>
      </c>
      <c r="Y21" s="73">
        <f>MIN((1172*1000*V21)/(C21/R21)^2, 0.6*Input_disp_check!$C$6)</f>
        <v>165</v>
      </c>
      <c r="Z21" s="73">
        <f>MIN((82740*V21)/(C21*E21/INDEX(profile_H!$U$6:$U$17, MATCH(E21, profile_H!$C$6:$C$17, 0))), 0.6*Input_disp_check!$C$6)</f>
        <v>165</v>
      </c>
      <c r="AA21" s="71">
        <f t="shared" si="4"/>
        <v>165</v>
      </c>
      <c r="AB21" s="74">
        <f t="shared" si="5"/>
        <v>165</v>
      </c>
      <c r="AC21" s="73">
        <f>(INDEX(Input_disp_check!$P$42:$P$58, MATCH(B21,Input_disp_check!$B$42:$B$58,0)))/INDEX(profile_H!$K$6:$K$17,MATCH(E21, profile_H!$C$6:$C$17, 0))</f>
        <v>56.220315410958904</v>
      </c>
      <c r="AD21" s="75">
        <f>(INDEX(Input_disp_check!$N$42:$N$58, MATCH(B21,Input_disp_check!$B$42:$B$58,0)))/INDEX(profile_H!$K$6:$K$17,MATCH(E21, profile_H!$C$6:$C$17, 0))</f>
        <v>18.135585616438355</v>
      </c>
      <c r="AE21" s="78">
        <f>MIN(0.75*Input_disp_check!$C$6,0.63*Input_disp_check!$C$7)</f>
        <v>206.25</v>
      </c>
      <c r="AF21" s="79">
        <f>(INDEX(Input_disp_check!$Q$42:$Q$58, MATCH(B21,Input_disp_check!$B$42:$B$58,0)))/INDEX(profile_H!$N$6:$N$17, MATCH(E21, profile_H!$C$6:$C$17, 0))</f>
        <v>74.039554593874826</v>
      </c>
      <c r="AG21" s="80">
        <f>12*PI()^2*Input_disp_check!$C$8/(23*(G21*C21/INDEX(profile_H!$L$6:$L$17, MATCH(E21, profile_H!$C$6:$C$17, 0)))^2)</f>
        <v>250.30849308429862</v>
      </c>
      <c r="AH21" s="81">
        <f>12*PI()^2*Input_disp_check!$C$8/(23*(G21*C21/INDEX(profile_H!$O$6:$O$17, MATCH(E21, profile_H!$C$6:$C$17, 0)))^2)</f>
        <v>86.20578378280689</v>
      </c>
      <c r="AI21" s="82">
        <v>0.85</v>
      </c>
      <c r="AJ21" s="83">
        <f t="shared" si="6"/>
        <v>0.4512553288938943</v>
      </c>
      <c r="AK21" s="83">
        <f>(M21/(0.6*Input_disp_check!$C$6))+(AD21/AB21)+(AF21/AE21)</f>
        <v>0.48888139372232697</v>
      </c>
      <c r="AL21" s="83">
        <f t="shared" si="7"/>
        <v>0.5082030245940069</v>
      </c>
      <c r="AM21" s="169">
        <f t="shared" si="8"/>
        <v>0.5082030245940069</v>
      </c>
      <c r="AN21" s="156" t="str">
        <f t="shared" si="9"/>
        <v>OK</v>
      </c>
      <c r="AO21" s="83">
        <f t="shared" si="10"/>
        <v>0.3327976759973087</v>
      </c>
      <c r="AP21" s="83">
        <f>(M21/(0.6*Input_disp_check!$C$6))+(AC21/AB21)</f>
        <v>0.36071827929457362</v>
      </c>
      <c r="AQ21" s="83">
        <f t="shared" si="11"/>
        <v>0.38003991016625349</v>
      </c>
      <c r="AR21" s="169">
        <f t="shared" si="12"/>
        <v>0.38003991016625349</v>
      </c>
      <c r="AS21" s="157" t="str">
        <f t="shared" si="13"/>
        <v>OK</v>
      </c>
      <c r="AT21" s="78">
        <f>MIN(0.4*Input_disp_check!$C$6,0.33*Input_disp_check!$C$7)</f>
        <v>110</v>
      </c>
      <c r="AU21" s="86">
        <f>(INDEX(Input_disp_check!$I$42:$I$58, MATCH(B21,Input_disp_check!$B$42:$B$58,0)))/INDEX(profile_H!$T$6:$T$17, MATCH(E21, profile_H!$C$6:$C$17, 0))</f>
        <v>12.608549999999999</v>
      </c>
      <c r="AV21" s="169">
        <f t="shared" si="14"/>
        <v>0.1146231818181818</v>
      </c>
      <c r="AW21" s="157" t="str">
        <f t="shared" si="15"/>
        <v>OK</v>
      </c>
      <c r="AX21" s="52"/>
      <c r="AY21" s="10"/>
      <c r="AZ21" s="10"/>
      <c r="BA21" s="10"/>
      <c r="BB21" s="10"/>
      <c r="BC21" s="10"/>
      <c r="BD21" s="10"/>
    </row>
    <row r="22" spans="2:56" s="12" customFormat="1" ht="15" customHeight="1" x14ac:dyDescent="0.15">
      <c r="B22" s="96">
        <v>9</v>
      </c>
      <c r="C22" s="87">
        <f>(INDEX(Input_disp_check!$C$42:$C$58, MATCH(B22,Input_disp_check!$B$42:$B$58,0)))</f>
        <v>2100</v>
      </c>
      <c r="D22" s="134" t="str">
        <f>(INDEX(Input_disp_check!$D$42:$D$58, MATCH(B22,Input_disp_check!$B$42:$B$58,0)))</f>
        <v>H -</v>
      </c>
      <c r="E22" s="135">
        <f>(INDEX(Input_disp_check!$E$42:$E$58, MATCH(B22,Input_disp_check!$B$42:$B$58,0)))</f>
        <v>125</v>
      </c>
      <c r="F22" s="78">
        <f>SQRT(2*PI()^2*Input_disp_check!$C$8/Input_disp_check!$C$6)</f>
        <v>122.77449910610369</v>
      </c>
      <c r="G22" s="137">
        <v>2</v>
      </c>
      <c r="H22" s="86">
        <f>G22*C22/(INDEX(profile_H!$O$6:$O$17, MATCH(E22, profile_H!$C$6:$C$17, 0)))</f>
        <v>135.04823151125402</v>
      </c>
      <c r="I22" s="73" t="str">
        <f t="shared" si="75"/>
        <v>OK</v>
      </c>
      <c r="J22" s="86">
        <f>12*PI()^2*Input_disp_check!$C$8/(23*H22^2)</f>
        <v>59.291801694271044</v>
      </c>
      <c r="K22" s="73">
        <f>(1-H22^2/(2*F22^2))*Input_disp_check!$C$6 / ((5/3) + (3*H22/(8*F22))-(H22^3/(8*F22^3)))</f>
        <v>56.793442696093031</v>
      </c>
      <c r="L22" s="87">
        <f t="shared" si="1"/>
        <v>59.291801694271044</v>
      </c>
      <c r="M22" s="79">
        <f>(INDEX(Input_disp_check!$I$42:$I$58, MATCH(B22,Input_disp_check!$B$42:$B$58,0)))/(INDEX(profile_H!$H$6:$H$17, MATCH(E22, profile_H!$C$6:$C$17, 0)))</f>
        <v>2.2648152424942261</v>
      </c>
      <c r="N22" s="88" t="str">
        <f>IF(M22/Input_disp_check!$C$6&lt;=0.16,"OK","Warning")</f>
        <v>OK</v>
      </c>
      <c r="O22" s="73">
        <f>200*(INDEX(profile_H!$D$6:$D$17, MATCH(E22, profile_H!$C$6:$C$17, 0)))/SQRT(Input_disp_check!$C$6)</f>
        <v>1507.5567228888181</v>
      </c>
      <c r="P22" s="73">
        <f>138000/(E22/((INDEX(profile_H!$D$6:$D$17, MATCH(E22, profile_H!$C$6:$C$17, 0)))*(INDEX(profile_H!$F$6:$F$17, MATCH(E22, profile_H!$C$6:$C$17, 0))))*Input_disp_check!$C$6)</f>
        <v>4516.3636363636369</v>
      </c>
      <c r="Q22" s="74">
        <f t="shared" si="2"/>
        <v>1507.5567228888181</v>
      </c>
      <c r="R22" s="86">
        <f>INDEX(profile_H!$I$6:$I$17, MATCH(E22, profile_H!$C$6:$C$17, 0))</f>
        <v>34.362506408833305</v>
      </c>
      <c r="S22" s="86">
        <f t="shared" si="3"/>
        <v>61.113120650016647</v>
      </c>
      <c r="T22" s="86">
        <f>(703.3*1000*V22/Input_disp_check!$C$6)^0.5</f>
        <v>50.571281825306201</v>
      </c>
      <c r="U22" s="86">
        <f>(3516*1000*V22/Input_disp_check!$C$6)^0.5</f>
        <v>113.07278428275544</v>
      </c>
      <c r="V22" s="82">
        <v>1</v>
      </c>
      <c r="W22" s="85">
        <f>MIN(0.66*Input_disp_check!$C$6, 0.55*Input_disp_check!$C$7)</f>
        <v>181.5</v>
      </c>
      <c r="X22" s="86">
        <f>MIN(((2/3)-(Input_disp_check!$C$6*(C22/R22)^2 / (10550 * 1000*V22))),0.6) * Input_disp_check!$C$6</f>
        <v>156.56126962565546</v>
      </c>
      <c r="Y22" s="86">
        <f>MIN((1172*1000*V22)/(C22/R22)^2, 0.6*Input_disp_check!$C$6)</f>
        <v>165</v>
      </c>
      <c r="Z22" s="86">
        <f>MIN((82740*V22)/(C22*E22/INDEX(profile_H!$U$6:$U$17, MATCH(E22, profile_H!$C$6:$C$17, 0))), 0.6*Input_disp_check!$C$6)</f>
        <v>165</v>
      </c>
      <c r="AA22" s="85">
        <f t="shared" si="4"/>
        <v>165</v>
      </c>
      <c r="AB22" s="87">
        <f t="shared" si="5"/>
        <v>165</v>
      </c>
      <c r="AC22" s="86">
        <f>(INDEX(Input_disp_check!$P$42:$P$58, MATCH(B22,Input_disp_check!$B$42:$B$58,0)))/INDEX(profile_H!$K$6:$K$17,MATCH(E22, profile_H!$C$6:$C$17, 0))</f>
        <v>46.942126102941174</v>
      </c>
      <c r="AD22" s="79">
        <f>(INDEX(Input_disp_check!$N$42:$N$58, MATCH(B22,Input_disp_check!$B$42:$B$58,0)))/INDEX(profile_H!$K$6:$K$17,MATCH(E22, profile_H!$C$6:$C$17, 0))</f>
        <v>15.142621323529411</v>
      </c>
      <c r="AE22" s="78">
        <f>MIN(0.75*Input_disp_check!$C$6,0.63*Input_disp_check!$C$7)</f>
        <v>206.25</v>
      </c>
      <c r="AF22" s="79">
        <f>(INDEX(Input_disp_check!$Q$42:$Q$58, MATCH(B22,Input_disp_check!$B$42:$B$58,0)))/INDEX(profile_H!$N$6:$N$17, MATCH(E22, profile_H!$C$6:$C$17, 0))</f>
        <v>61.343725531914885</v>
      </c>
      <c r="AG22" s="80">
        <f>12*PI()^2*Input_disp_check!$C$8/(23*(G22*C22/INDEX(profile_H!$L$6:$L$17, MATCH(E22, profile_H!$C$6:$C$17, 0)))^2)</f>
        <v>171.5478239257917</v>
      </c>
      <c r="AH22" s="81">
        <f>12*PI()^2*Input_disp_check!$C$8/(23*(G22*C22/INDEX(profile_H!$O$6:$O$17, MATCH(E22, profile_H!$C$6:$C$17, 0)))^2)</f>
        <v>59.291801694271044</v>
      </c>
      <c r="AI22" s="82">
        <v>0.85</v>
      </c>
      <c r="AJ22" s="83">
        <f t="shared" si="6"/>
        <v>0.38009969868222715</v>
      </c>
      <c r="AK22" s="83">
        <f>(M22/(0.6*Input_disp_check!$C$6))+(AD22/AB22)+(AF22/AE22)</f>
        <v>0.40292373934276082</v>
      </c>
      <c r="AL22" s="83">
        <f t="shared" si="7"/>
        <v>0.42739536712656684</v>
      </c>
      <c r="AM22" s="169">
        <f t="shared" si="8"/>
        <v>0.42739536712656684</v>
      </c>
      <c r="AN22" s="156" t="str">
        <f t="shared" si="9"/>
        <v>OK</v>
      </c>
      <c r="AO22" s="83">
        <f t="shared" si="10"/>
        <v>0.28325617392350144</v>
      </c>
      <c r="AP22" s="83">
        <f>(M22/(0.6*Input_disp_check!$C$6))+(AC22/AB22)</f>
        <v>0.29822388694203272</v>
      </c>
      <c r="AQ22" s="83">
        <f t="shared" si="11"/>
        <v>0.32269551472583868</v>
      </c>
      <c r="AR22" s="169">
        <f t="shared" si="12"/>
        <v>0.32269551472583868</v>
      </c>
      <c r="AS22" s="157" t="str">
        <f t="shared" si="13"/>
        <v>OK</v>
      </c>
      <c r="AT22" s="78">
        <f>MIN(0.4*Input_disp_check!$C$6,0.33*Input_disp_check!$C$7)</f>
        <v>110</v>
      </c>
      <c r="AU22" s="86">
        <f>(INDEX(Input_disp_check!$I$42:$I$58, MATCH(B22,Input_disp_check!$B$42:$B$58,0)))/INDEX(profile_H!$T$6:$T$17, MATCH(E22, profile_H!$C$6:$C$17, 0))</f>
        <v>8.448806153846153</v>
      </c>
      <c r="AV22" s="169">
        <f t="shared" si="14"/>
        <v>7.6807328671328667E-2</v>
      </c>
      <c r="AW22" s="157" t="str">
        <f t="shared" si="15"/>
        <v>OK</v>
      </c>
      <c r="AX22" s="52"/>
      <c r="AY22" s="10"/>
      <c r="AZ22" s="10"/>
      <c r="BA22" s="10"/>
      <c r="BB22" s="10"/>
      <c r="BC22" s="10"/>
      <c r="BD22" s="10"/>
    </row>
    <row r="23" spans="2:56" s="12" customFormat="1" ht="15" customHeight="1" x14ac:dyDescent="0.15">
      <c r="B23" s="96">
        <v>10</v>
      </c>
      <c r="C23" s="87">
        <f>(INDEX(Input_disp_check!$C$42:$C$58, MATCH(B23,Input_disp_check!$B$42:$B$58,0)))</f>
        <v>1500</v>
      </c>
      <c r="D23" s="132" t="str">
        <f>(INDEX(Input_disp_check!$D$42:$D$58, MATCH(B23,Input_disp_check!$B$42:$B$58,0)))</f>
        <v>H -</v>
      </c>
      <c r="E23" s="133">
        <f>(INDEX(Input_disp_check!$E$42:$E$58, MATCH(B23,Input_disp_check!$B$42:$B$58,0)))</f>
        <v>150</v>
      </c>
      <c r="F23" s="72">
        <f>SQRT(2*PI()^2*Input_disp_check!$C$8/Input_disp_check!$C$6)</f>
        <v>122.77449910610369</v>
      </c>
      <c r="G23" s="136">
        <v>2</v>
      </c>
      <c r="H23" s="73">
        <f>G23*C23/(INDEX(profile_H!$O$6:$O$17, MATCH(E23, profile_H!$C$6:$C$17, 0)))</f>
        <v>80</v>
      </c>
      <c r="I23" s="73" t="str">
        <f t="shared" si="75"/>
        <v>OK</v>
      </c>
      <c r="J23" s="73">
        <f>12*PI()^2*Input_disp_check!$C$8/(23*H23^2)</f>
        <v>168.96333621430151</v>
      </c>
      <c r="K23" s="73">
        <f>(1-H23^2/(2*F23^2))*Input_disp_check!$C$6 / ((5/3) + (3*H23/(8*F23))-(H23^3/(8*F23^3)))</f>
        <v>115.44217548843055</v>
      </c>
      <c r="L23" s="74">
        <f t="shared" si="1"/>
        <v>115.44217548843055</v>
      </c>
      <c r="M23" s="75">
        <f>(INDEX(Input_disp_check!$I$42:$I$58, MATCH(B23,Input_disp_check!$B$42:$B$58,0)))/(INDEX(profile_H!$H$6:$H$17, MATCH(E23, profile_H!$C$6:$C$17, 0)))</f>
        <v>5.3748455406078719</v>
      </c>
      <c r="N23" s="76" t="str">
        <f>IF(M23/Input_disp_check!$C$6&lt;=0.16,"OK","Warning")</f>
        <v>OK</v>
      </c>
      <c r="O23" s="73">
        <f>200*(INDEX(profile_H!$D$6:$D$17, MATCH(E23, profile_H!$C$6:$C$17, 0)))/SQRT(Input_disp_check!$C$6)</f>
        <v>1809.0680674665816</v>
      </c>
      <c r="P23" s="73">
        <f>138000/(E23/((INDEX(profile_H!$D$6:$D$17, MATCH(E23, profile_H!$C$6:$C$17, 0)))*(INDEX(profile_H!$F$6:$F$17, MATCH(E23, profile_H!$C$6:$C$17, 0))))*Input_disp_check!$C$6)</f>
        <v>5018.181818181818</v>
      </c>
      <c r="Q23" s="74">
        <f t="shared" si="2"/>
        <v>1809.0680674665816</v>
      </c>
      <c r="R23" s="73">
        <f>INDEX(profile_H!$I$6:$I$17, MATCH(E23, profile_H!$C$6:$C$17, 0))</f>
        <v>41.26984839825154</v>
      </c>
      <c r="S23" s="73">
        <f t="shared" si="3"/>
        <v>36.34614756819775</v>
      </c>
      <c r="T23" s="73">
        <f>(703.3*1000*V23/Input_disp_check!$C$6)^0.5</f>
        <v>50.571281825306201</v>
      </c>
      <c r="U23" s="73">
        <f>(3516*1000*V23/Input_disp_check!$C$6)^0.5</f>
        <v>113.07278428275544</v>
      </c>
      <c r="V23" s="77">
        <v>1</v>
      </c>
      <c r="W23" s="71">
        <f>MIN(0.66*Input_disp_check!$C$6, 0.55*Input_disp_check!$C$7)</f>
        <v>181.5</v>
      </c>
      <c r="X23" s="73">
        <f>MIN(((2/3)-(Input_disp_check!$C$6*(C23/R23)^2 / (10550 * 1000*V23))),0.6) * Input_disp_check!$C$6</f>
        <v>165</v>
      </c>
      <c r="Y23" s="73">
        <f>MIN((1172*1000*V23)/(C23/R23)^2, 0.6*Input_disp_check!$C$6)</f>
        <v>165</v>
      </c>
      <c r="Z23" s="73">
        <f>MIN((82740*V23)/(C23*E23/INDEX(profile_H!$U$6:$U$17, MATCH(E23, profile_H!$C$6:$C$17, 0))), 0.6*Input_disp_check!$C$6)</f>
        <v>165</v>
      </c>
      <c r="AA23" s="71">
        <f t="shared" si="4"/>
        <v>165</v>
      </c>
      <c r="AB23" s="74">
        <f t="shared" si="5"/>
        <v>181.5</v>
      </c>
      <c r="AC23" s="73">
        <f>(INDEX(Input_disp_check!$P$42:$P$58, MATCH(B23,Input_disp_check!$B$42:$B$58,0)))/INDEX(profile_H!$K$6:$K$17,MATCH(E23, profile_H!$C$6:$C$17, 0))</f>
        <v>73.885719178082169</v>
      </c>
      <c r="AD23" s="75">
        <f>(INDEX(Input_disp_check!$N$42:$N$58, MATCH(B23,Input_disp_check!$B$42:$B$58,0)))/INDEX(profile_H!$K$6:$K$17,MATCH(E23, profile_H!$C$6:$C$17, 0))</f>
        <v>29.554287671232874</v>
      </c>
      <c r="AE23" s="78">
        <f>MIN(0.75*Input_disp_check!$C$6,0.63*Input_disp_check!$C$7)</f>
        <v>206.25</v>
      </c>
      <c r="AF23" s="79">
        <f>(INDEX(Input_disp_check!$Q$42:$Q$58, MATCH(B23,Input_disp_check!$B$42:$B$58,0)))/INDEX(profile_H!$N$6:$N$17, MATCH(E23, profile_H!$C$6:$C$17, 0))</f>
        <v>86.183608521970697</v>
      </c>
      <c r="AG23" s="80">
        <f>12*PI()^2*Input_disp_check!$C$8/(23*(G23*C23/INDEX(profile_H!$L$6:$L$17, MATCH(E23, profile_H!$C$6:$C$17, 0)))^2)</f>
        <v>490.60464644522534</v>
      </c>
      <c r="AH23" s="81">
        <f>12*PI()^2*Input_disp_check!$C$8/(23*(G23*C23/INDEX(profile_H!$O$6:$O$17, MATCH(E23, profile_H!$C$6:$C$17, 0)))^2)</f>
        <v>168.96333621430151</v>
      </c>
      <c r="AI23" s="82">
        <v>0.85</v>
      </c>
      <c r="AJ23" s="83">
        <f t="shared" si="6"/>
        <v>0.55335113455003149</v>
      </c>
      <c r="AK23" s="83">
        <f>(M23/(0.6*Input_disp_check!$C$6))+(AD23/AB23)+(AF23/AE23)</f>
        <v>0.61326828245308951</v>
      </c>
      <c r="AL23" s="83">
        <f t="shared" si="7"/>
        <v>0.62725222964130267</v>
      </c>
      <c r="AM23" s="169">
        <f t="shared" si="8"/>
        <v>0.62725222964130267</v>
      </c>
      <c r="AN23" s="156" t="str">
        <f t="shared" si="9"/>
        <v>OK</v>
      </c>
      <c r="AO23" s="83">
        <f t="shared" si="10"/>
        <v>0.39641288862634894</v>
      </c>
      <c r="AP23" s="83">
        <f>(M23/(0.6*Input_disp_check!$C$6))+(AC23/AB23)</f>
        <v>0.43965867367906791</v>
      </c>
      <c r="AQ23" s="83">
        <f t="shared" si="11"/>
        <v>0.45364262086728102</v>
      </c>
      <c r="AR23" s="169">
        <f t="shared" si="12"/>
        <v>0.45364262086728102</v>
      </c>
      <c r="AS23" s="157" t="str">
        <f t="shared" si="13"/>
        <v>OK</v>
      </c>
      <c r="AT23" s="78">
        <f>MIN(0.4*Input_disp_check!$C$6,0.33*Input_disp_check!$C$7)</f>
        <v>110</v>
      </c>
      <c r="AU23" s="86">
        <f>(INDEX(Input_disp_check!$I$42:$I$58, MATCH(B23,Input_disp_check!$B$42:$B$58,0)))/INDEX(profile_H!$T$6:$T$17, MATCH(E23, profile_H!$C$6:$C$17, 0))</f>
        <v>20.547266666666665</v>
      </c>
      <c r="AV23" s="169">
        <f t="shared" si="14"/>
        <v>0.18679333333333331</v>
      </c>
      <c r="AW23" s="157" t="str">
        <f t="shared" si="15"/>
        <v>OK</v>
      </c>
      <c r="AX23" s="52"/>
      <c r="AY23" s="10"/>
      <c r="AZ23" s="10"/>
      <c r="BA23" s="10"/>
      <c r="BB23" s="10"/>
      <c r="BC23" s="10"/>
      <c r="BD23" s="10"/>
    </row>
    <row r="24" spans="2:56" s="12" customFormat="1" ht="15" customHeight="1" x14ac:dyDescent="0.15">
      <c r="B24" s="96">
        <v>11</v>
      </c>
      <c r="C24" s="87">
        <f>(INDEX(Input_disp_check!$C$42:$C$58, MATCH(B24,Input_disp_check!$B$42:$B$58,0)))</f>
        <v>1500</v>
      </c>
      <c r="D24" s="134" t="str">
        <f>(INDEX(Input_disp_check!$D$42:$D$58, MATCH(B24,Input_disp_check!$B$42:$B$58,0)))</f>
        <v>H -</v>
      </c>
      <c r="E24" s="135">
        <f>(INDEX(Input_disp_check!$E$42:$E$58, MATCH(B24,Input_disp_check!$B$42:$B$58,0)))</f>
        <v>125</v>
      </c>
      <c r="F24" s="78">
        <f>SQRT(2*PI()^2*Input_disp_check!$C$8/Input_disp_check!$C$6)</f>
        <v>122.77449910610369</v>
      </c>
      <c r="G24" s="137">
        <v>2</v>
      </c>
      <c r="H24" s="86">
        <f>G24*C24/(INDEX(profile_H!$O$6:$O$17, MATCH(E24, profile_H!$C$6:$C$17, 0)))</f>
        <v>96.463022508038577</v>
      </c>
      <c r="I24" s="73" t="str">
        <f t="shared" si="75"/>
        <v>OK</v>
      </c>
      <c r="J24" s="86">
        <f>12*PI()^2*Input_disp_check!$C$8/(23*H24^2)</f>
        <v>116.21193132077127</v>
      </c>
      <c r="K24" s="73">
        <f>(1-H24^2/(2*F24^2))*Input_disp_check!$C$6 / ((5/3) + (3*H24/(8*F24))-(H24^3/(8*F24^3)))</f>
        <v>100.02738811544893</v>
      </c>
      <c r="L24" s="87">
        <f t="shared" si="1"/>
        <v>100.02738811544893</v>
      </c>
      <c r="M24" s="79">
        <f>(INDEX(Input_disp_check!$I$42:$I$58, MATCH(B24,Input_disp_check!$B$42:$B$58,0)))/(INDEX(profile_H!$H$6:$H$17, MATCH(E24, profile_H!$C$6:$C$17, 0)))</f>
        <v>3.7207678983833716</v>
      </c>
      <c r="N24" s="88" t="str">
        <f>IF(M24/Input_disp_check!$C$6&lt;=0.16,"OK","Warning")</f>
        <v>OK</v>
      </c>
      <c r="O24" s="73">
        <f>200*(INDEX(profile_H!$D$6:$D$17, MATCH(E24, profile_H!$C$6:$C$17, 0)))/SQRT(Input_disp_check!$C$6)</f>
        <v>1507.5567228888181</v>
      </c>
      <c r="P24" s="73">
        <f>138000/(E24/((INDEX(profile_H!$D$6:$D$17, MATCH(E24, profile_H!$C$6:$C$17, 0)))*(INDEX(profile_H!$F$6:$F$17, MATCH(E24, profile_H!$C$6:$C$17, 0))))*Input_disp_check!$C$6)</f>
        <v>4516.3636363636369</v>
      </c>
      <c r="Q24" s="74">
        <f t="shared" si="2"/>
        <v>1507.5567228888181</v>
      </c>
      <c r="R24" s="86">
        <f>INDEX(profile_H!$I$6:$I$17, MATCH(E24, profile_H!$C$6:$C$17, 0))</f>
        <v>34.362506408833305</v>
      </c>
      <c r="S24" s="86">
        <f t="shared" si="3"/>
        <v>43.65222903572618</v>
      </c>
      <c r="T24" s="86">
        <f>(703.3*1000*V24/Input_disp_check!$C$6)^0.5</f>
        <v>50.571281825306201</v>
      </c>
      <c r="U24" s="86">
        <f>(3516*1000*V24/Input_disp_check!$C$6)^0.5</f>
        <v>113.07278428275544</v>
      </c>
      <c r="V24" s="82">
        <v>1</v>
      </c>
      <c r="W24" s="85">
        <f>MIN(0.66*Input_disp_check!$C$6, 0.55*Input_disp_check!$C$7)</f>
        <v>181.5</v>
      </c>
      <c r="X24" s="86">
        <f>MIN(((2/3)-(Input_disp_check!$C$6*(C24/R24)^2 / (10550 * 1000*V24))),0.6) * Input_disp_check!$C$6</f>
        <v>165</v>
      </c>
      <c r="Y24" s="86">
        <f>MIN((1172*1000*V24)/(C24/R24)^2, 0.6*Input_disp_check!$C$6)</f>
        <v>165</v>
      </c>
      <c r="Z24" s="86">
        <f>MIN((82740*V24)/(C24*E24/INDEX(profile_H!$U$6:$U$17, MATCH(E24, profile_H!$C$6:$C$17, 0))), 0.6*Input_disp_check!$C$6)</f>
        <v>165</v>
      </c>
      <c r="AA24" s="85">
        <f t="shared" si="4"/>
        <v>165</v>
      </c>
      <c r="AB24" s="87">
        <f t="shared" si="5"/>
        <v>181.5</v>
      </c>
      <c r="AC24" s="86">
        <f>(INDEX(Input_disp_check!$P$42:$P$58, MATCH(B24,Input_disp_check!$B$42:$B$58,0)))/INDEX(profile_H!$K$6:$K$17,MATCH(E24, profile_H!$C$6:$C$17, 0))</f>
        <v>62.192909007352938</v>
      </c>
      <c r="AD24" s="79">
        <f>(INDEX(Input_disp_check!$N$42:$N$58, MATCH(B24,Input_disp_check!$B$42:$B$58,0)))/INDEX(profile_H!$K$6:$K$17,MATCH(E24, profile_H!$C$6:$C$17, 0))</f>
        <v>24.877163602941174</v>
      </c>
      <c r="AE24" s="78">
        <f>MIN(0.75*Input_disp_check!$C$6,0.63*Input_disp_check!$C$7)</f>
        <v>206.25</v>
      </c>
      <c r="AF24" s="79">
        <f>(INDEX(Input_disp_check!$Q$42:$Q$58, MATCH(B24,Input_disp_check!$B$42:$B$58,0)))/INDEX(profile_H!$N$6:$N$17, MATCH(E24, profile_H!$C$6:$C$17, 0))</f>
        <v>71.98498404255318</v>
      </c>
      <c r="AG24" s="80">
        <f>12*PI()^2*Input_disp_check!$C$8/(23*(G24*C24/INDEX(profile_H!$L$6:$L$17, MATCH(E24, profile_H!$C$6:$C$17, 0)))^2)</f>
        <v>336.23373489455179</v>
      </c>
      <c r="AH24" s="81">
        <f>12*PI()^2*Input_disp_check!$C$8/(23*(G24*C24/INDEX(profile_H!$O$6:$O$17, MATCH(E24, profile_H!$C$6:$C$17, 0)))^2)</f>
        <v>116.21193132077127</v>
      </c>
      <c r="AI24" s="82">
        <v>0.85</v>
      </c>
      <c r="AJ24" s="83">
        <f t="shared" si="6"/>
        <v>0.46148370268599415</v>
      </c>
      <c r="AK24" s="83">
        <f>(M24/(0.6*Input_disp_check!$C$6))+(AD24/AB24)+(AF24/AE24)</f>
        <v>0.50863247519895138</v>
      </c>
      <c r="AL24" s="83">
        <f t="shared" si="7"/>
        <v>0.52327985801587529</v>
      </c>
      <c r="AM24" s="169">
        <f t="shared" si="8"/>
        <v>0.52327985801587529</v>
      </c>
      <c r="AN24" s="156" t="str">
        <f t="shared" si="9"/>
        <v>OK</v>
      </c>
      <c r="AO24" s="83">
        <f t="shared" si="10"/>
        <v>0.33171821972715138</v>
      </c>
      <c r="AP24" s="83">
        <f>(M24/(0.6*Input_disp_check!$C$6))+(AC24/AB24)</f>
        <v>0.36521076416294573</v>
      </c>
      <c r="AQ24" s="83">
        <f t="shared" si="11"/>
        <v>0.37985814697986958</v>
      </c>
      <c r="AR24" s="169">
        <f t="shared" si="12"/>
        <v>0.37985814697986958</v>
      </c>
      <c r="AS24" s="157" t="str">
        <f t="shared" si="13"/>
        <v>OK</v>
      </c>
      <c r="AT24" s="78">
        <f>MIN(0.4*Input_disp_check!$C$6,0.33*Input_disp_check!$C$7)</f>
        <v>110</v>
      </c>
      <c r="AU24" s="86">
        <f>(INDEX(Input_disp_check!$I$42:$I$58, MATCH(B24,Input_disp_check!$B$42:$B$58,0)))/INDEX(profile_H!$T$6:$T$17, MATCH(E24, profile_H!$C$6:$C$17, 0))</f>
        <v>13.880181538461537</v>
      </c>
      <c r="AV24" s="169">
        <f t="shared" si="14"/>
        <v>0.12618346853146853</v>
      </c>
      <c r="AW24" s="157" t="str">
        <f t="shared" si="15"/>
        <v>OK</v>
      </c>
      <c r="AX24" s="52"/>
      <c r="AY24" s="10"/>
      <c r="AZ24" s="10"/>
      <c r="BA24" s="10"/>
      <c r="BB24" s="10"/>
      <c r="BC24" s="10"/>
      <c r="BD24" s="10"/>
    </row>
    <row r="25" spans="2:56" s="12" customFormat="1" ht="15" customHeight="1" x14ac:dyDescent="0.15">
      <c r="B25" s="96">
        <v>12</v>
      </c>
      <c r="C25" s="87">
        <f>(INDEX(Input_disp_check!$C$42:$C$58, MATCH(B25,Input_disp_check!$B$42:$B$58,0)))</f>
        <v>1000</v>
      </c>
      <c r="D25" s="134" t="str">
        <f>(INDEX(Input_disp_check!$D$42:$D$58, MATCH(B25,Input_disp_check!$B$42:$B$58,0)))</f>
        <v>H -</v>
      </c>
      <c r="E25" s="135">
        <f>(INDEX(Input_disp_check!$E$42:$E$58, MATCH(B25,Input_disp_check!$B$42:$B$58,0)))</f>
        <v>150</v>
      </c>
      <c r="F25" s="78">
        <f>SQRT(2*PI()^2*Input_disp_check!$C$8/Input_disp_check!$C$6)</f>
        <v>122.77449910610369</v>
      </c>
      <c r="G25" s="137">
        <v>2</v>
      </c>
      <c r="H25" s="86">
        <f>G25*C25/(INDEX(profile_H!$O$6:$O$17, MATCH(E25, profile_H!$C$6:$C$17, 0)))</f>
        <v>53.333333333333336</v>
      </c>
      <c r="I25" s="73" t="str">
        <f t="shared" si="75"/>
        <v>OK</v>
      </c>
      <c r="J25" s="86">
        <f>12*PI()^2*Input_disp_check!$C$8/(23*H25^2)</f>
        <v>380.16750648217828</v>
      </c>
      <c r="K25" s="73">
        <f>(1-H25^2/(2*F25^2))*Input_disp_check!$C$6 / ((5/3) + (3*H25/(8*F25))-(H25^3/(8*F25^3)))</f>
        <v>136.89354183435245</v>
      </c>
      <c r="L25" s="87">
        <f t="shared" si="1"/>
        <v>136.89354183435245</v>
      </c>
      <c r="M25" s="79">
        <f>(INDEX(Input_disp_check!$I$42:$I$58, MATCH(B25,Input_disp_check!$B$42:$B$58,0)))/(INDEX(profile_H!$H$6:$H$17, MATCH(E25, profile_H!$C$6:$C$17, 0)))</f>
        <v>7.8179571499750873</v>
      </c>
      <c r="N25" s="88" t="str">
        <f>IF(M25/Input_disp_check!$C$6&lt;=0.16,"OK","Warning")</f>
        <v>OK</v>
      </c>
      <c r="O25" s="73">
        <f>200*(INDEX(profile_H!$D$6:$D$17, MATCH(E25, profile_H!$C$6:$C$17, 0)))/SQRT(Input_disp_check!$C$6)</f>
        <v>1809.0680674665816</v>
      </c>
      <c r="P25" s="73">
        <f>138000/(E25/((INDEX(profile_H!$D$6:$D$17, MATCH(E25, profile_H!$C$6:$C$17, 0)))*(INDEX(profile_H!$F$6:$F$17, MATCH(E25, profile_H!$C$6:$C$17, 0))))*Input_disp_check!$C$6)</f>
        <v>5018.181818181818</v>
      </c>
      <c r="Q25" s="74">
        <f t="shared" si="2"/>
        <v>1809.0680674665816</v>
      </c>
      <c r="R25" s="86">
        <f>INDEX(profile_H!$I$6:$I$17, MATCH(E25, profile_H!$C$6:$C$17, 0))</f>
        <v>41.26984839825154</v>
      </c>
      <c r="S25" s="86">
        <f t="shared" si="3"/>
        <v>24.230765045465166</v>
      </c>
      <c r="T25" s="86">
        <f>(703.3*1000*V25/Input_disp_check!$C$6)^0.5</f>
        <v>50.571281825306201</v>
      </c>
      <c r="U25" s="86">
        <f>(3516*1000*V25/Input_disp_check!$C$6)^0.5</f>
        <v>113.07278428275544</v>
      </c>
      <c r="V25" s="82">
        <v>1</v>
      </c>
      <c r="W25" s="85">
        <f>MIN(0.66*Input_disp_check!$C$6, 0.55*Input_disp_check!$C$7)</f>
        <v>181.5</v>
      </c>
      <c r="X25" s="86">
        <f>MIN(((2/3)-(Input_disp_check!$C$6*(C25/R25)^2 / (10550 * 1000*V25))),0.6) * Input_disp_check!$C$6</f>
        <v>165</v>
      </c>
      <c r="Y25" s="86">
        <f>MIN((1172*1000*V25)/(C25/R25)^2, 0.6*Input_disp_check!$C$6)</f>
        <v>165</v>
      </c>
      <c r="Z25" s="86">
        <f>MIN((82740*V25)/(C25*E25/INDEX(profile_H!$U$6:$U$17, MATCH(E25, profile_H!$C$6:$C$17, 0))), 0.6*Input_disp_check!$C$6)</f>
        <v>165</v>
      </c>
      <c r="AA25" s="85">
        <f t="shared" si="4"/>
        <v>165</v>
      </c>
      <c r="AB25" s="87">
        <f t="shared" si="5"/>
        <v>181.5</v>
      </c>
      <c r="AC25" s="86">
        <f>(INDEX(Input_disp_check!$P$42:$P$58, MATCH(B25,Input_disp_check!$B$42:$B$58,0)))/INDEX(profile_H!$K$6:$K$17,MATCH(E25, profile_H!$C$6:$C$17, 0))</f>
        <v>85.976109589041101</v>
      </c>
      <c r="AD25" s="79">
        <f>(INDEX(Input_disp_check!$N$42:$N$58, MATCH(B25,Input_disp_check!$B$42:$B$58,0)))/INDEX(profile_H!$K$6:$K$17,MATCH(E25, profile_H!$C$6:$C$17, 0))</f>
        <v>42.988054794520551</v>
      </c>
      <c r="AE25" s="78">
        <f>MIN(0.75*Input_disp_check!$C$6,0.63*Input_disp_check!$C$7)</f>
        <v>206.25</v>
      </c>
      <c r="AF25" s="79">
        <f>(INDEX(Input_disp_check!$Q$42:$Q$58, MATCH(B25,Input_disp_check!$B$42:$B$58,0)))/INDEX(profile_H!$N$6:$N$17, MATCH(E25, profile_H!$C$6:$C$17, 0))</f>
        <v>83.571984021304914</v>
      </c>
      <c r="AG25" s="80">
        <f>12*PI()^2*Input_disp_check!$C$8/(23*(G25*C25/INDEX(profile_H!$L$6:$L$17, MATCH(E25, profile_H!$C$6:$C$17, 0)))^2)</f>
        <v>1103.8604545017567</v>
      </c>
      <c r="AH25" s="81">
        <f>12*PI()^2*Input_disp_check!$C$8/(23*(G25*C25/INDEX(profile_H!$O$6:$O$17, MATCH(E25, profile_H!$C$6:$C$17, 0)))^2)</f>
        <v>380.16750648217828</v>
      </c>
      <c r="AI25" s="82">
        <v>0.85</v>
      </c>
      <c r="AJ25" s="83">
        <f t="shared" si="6"/>
        <v>0.61151660186966628</v>
      </c>
      <c r="AK25" s="83">
        <f>(M25/(0.6*Input_disp_check!$C$6))+(AD25/AB25)+(AF25/AE25)</f>
        <v>0.68942784351648201</v>
      </c>
      <c r="AL25" s="83">
        <f t="shared" si="7"/>
        <v>0.69915604379188123</v>
      </c>
      <c r="AM25" s="169">
        <f t="shared" si="8"/>
        <v>0.69915604379188123</v>
      </c>
      <c r="AN25" s="156" t="str">
        <f t="shared" si="9"/>
        <v>OK</v>
      </c>
      <c r="AO25" s="83">
        <f t="shared" si="10"/>
        <v>0.46262470642929621</v>
      </c>
      <c r="AP25" s="83">
        <f>(M25/(0.6*Input_disp_check!$C$6))+(AC25/AB25)</f>
        <v>0.5210791319780369</v>
      </c>
      <c r="AQ25" s="83">
        <f t="shared" si="11"/>
        <v>0.53080733225343624</v>
      </c>
      <c r="AR25" s="169">
        <f t="shared" si="12"/>
        <v>0.53080733225343624</v>
      </c>
      <c r="AS25" s="157" t="str">
        <f t="shared" si="13"/>
        <v>OK</v>
      </c>
      <c r="AT25" s="78">
        <f>MIN(0.4*Input_disp_check!$C$6,0.33*Input_disp_check!$C$7)</f>
        <v>110</v>
      </c>
      <c r="AU25" s="86">
        <f>(INDEX(Input_disp_check!$I$42:$I$58, MATCH(B25,Input_disp_check!$B$42:$B$58,0)))/INDEX(profile_H!$T$6:$T$17, MATCH(E25, profile_H!$C$6:$C$17, 0))</f>
        <v>29.886933333333332</v>
      </c>
      <c r="AV25" s="169">
        <f t="shared" si="14"/>
        <v>0.27169939393939391</v>
      </c>
      <c r="AW25" s="157" t="str">
        <f t="shared" si="15"/>
        <v>OK</v>
      </c>
      <c r="AX25" s="52"/>
      <c r="AY25" s="219" t="s">
        <v>223</v>
      </c>
      <c r="AZ25" s="214"/>
      <c r="BA25" s="214"/>
      <c r="BB25" s="10"/>
      <c r="BC25" s="10"/>
      <c r="BD25" s="10"/>
    </row>
    <row r="26" spans="2:56" s="12" customFormat="1" ht="15" customHeight="1" x14ac:dyDescent="0.15">
      <c r="B26" s="96">
        <v>13</v>
      </c>
      <c r="C26" s="87">
        <f>(INDEX(Input_disp_check!$C$42:$C$58, MATCH(B26,Input_disp_check!$B$42:$B$58,0)))</f>
        <v>1000</v>
      </c>
      <c r="D26" s="132" t="str">
        <f>(INDEX(Input_disp_check!$D$42:$D$58, MATCH(B26,Input_disp_check!$B$42:$B$58,0)))</f>
        <v>H -</v>
      </c>
      <c r="E26" s="133">
        <f>(INDEX(Input_disp_check!$E$42:$E$58, MATCH(B26,Input_disp_check!$B$42:$B$58,0)))</f>
        <v>125</v>
      </c>
      <c r="F26" s="72">
        <f>SQRT(2*PI()^2*Input_disp_check!$C$8/Input_disp_check!$C$6)</f>
        <v>122.77449910610369</v>
      </c>
      <c r="G26" s="136">
        <v>2</v>
      </c>
      <c r="H26" s="73">
        <f>G26*C26/(INDEX(profile_H!$O$6:$O$17, MATCH(E26, profile_H!$C$6:$C$17, 0)))</f>
        <v>64.308681672025727</v>
      </c>
      <c r="I26" s="73" t="str">
        <f t="shared" si="75"/>
        <v>OK</v>
      </c>
      <c r="J26" s="73">
        <f>12*PI()^2*Input_disp_check!$C$8/(23*H26^2)</f>
        <v>261.47684547173526</v>
      </c>
      <c r="K26" s="73">
        <f>(1-H26^2/(2*F26^2))*Input_disp_check!$C$6 / ((5/3) + (3*H26/(8*F26))-(H26^3/(8*F26^3)))</f>
        <v>128.59571372027722</v>
      </c>
      <c r="L26" s="74">
        <f t="shared" si="1"/>
        <v>128.59571372027722</v>
      </c>
      <c r="M26" s="75">
        <f>(INDEX(Input_disp_check!$I$42:$I$58, MATCH(B26,Input_disp_check!$B$42:$B$58,0)))/(INDEX(profile_H!$H$6:$H$17, MATCH(E26, profile_H!$C$6:$C$17, 0)))</f>
        <v>6.3091281755196302</v>
      </c>
      <c r="N26" s="76" t="str">
        <f>IF(M26/Input_disp_check!$C$6&lt;=0.16,"OK","Warning")</f>
        <v>OK</v>
      </c>
      <c r="O26" s="73">
        <f>200*(INDEX(profile_H!$D$6:$D$17, MATCH(E26, profile_H!$C$6:$C$17, 0)))/SQRT(Input_disp_check!$C$6)</f>
        <v>1507.5567228888181</v>
      </c>
      <c r="P26" s="73">
        <f>138000/(E26/((INDEX(profile_H!$D$6:$D$17, MATCH(E26, profile_H!$C$6:$C$17, 0)))*(INDEX(profile_H!$F$6:$F$17, MATCH(E26, profile_H!$C$6:$C$17, 0))))*Input_disp_check!$C$6)</f>
        <v>4516.3636363636369</v>
      </c>
      <c r="Q26" s="74">
        <f t="shared" si="2"/>
        <v>1507.5567228888181</v>
      </c>
      <c r="R26" s="73">
        <f>INDEX(profile_H!$I$6:$I$17, MATCH(E26, profile_H!$C$6:$C$17, 0))</f>
        <v>34.362506408833305</v>
      </c>
      <c r="S26" s="73">
        <f t="shared" si="3"/>
        <v>29.101486023817451</v>
      </c>
      <c r="T26" s="73">
        <f>(703.3*1000*V26/Input_disp_check!$C$6)^0.5</f>
        <v>50.571281825306201</v>
      </c>
      <c r="U26" s="73">
        <f>(3516*1000*V26/Input_disp_check!$C$6)^0.5</f>
        <v>113.07278428275544</v>
      </c>
      <c r="V26" s="77">
        <v>1</v>
      </c>
      <c r="W26" s="71">
        <f>MIN(0.66*Input_disp_check!$C$6, 0.55*Input_disp_check!$C$7)</f>
        <v>181.5</v>
      </c>
      <c r="X26" s="73">
        <f>MIN(((2/3)-(Input_disp_check!$C$6*(C26/R26)^2 / (10550 * 1000*V26))),0.6) * Input_disp_check!$C$6</f>
        <v>165</v>
      </c>
      <c r="Y26" s="73">
        <f>MIN((1172*1000*V26)/(C26/R26)^2, 0.6*Input_disp_check!$C$6)</f>
        <v>165</v>
      </c>
      <c r="Z26" s="73">
        <f>MIN((82740*V26)/(C26*E26/INDEX(profile_H!$U$6:$U$17, MATCH(E26, profile_H!$C$6:$C$17, 0))), 0.6*Input_disp_check!$C$6)</f>
        <v>165</v>
      </c>
      <c r="AA26" s="71">
        <f t="shared" si="4"/>
        <v>165</v>
      </c>
      <c r="AB26" s="74">
        <f t="shared" si="5"/>
        <v>181.5</v>
      </c>
      <c r="AC26" s="73">
        <f>(INDEX(Input_disp_check!$P$42:$P$58, MATCH(B26,Input_disp_check!$B$42:$B$58,0)))/INDEX(profile_H!$K$6:$K$17,MATCH(E26, profile_H!$C$6:$C$17, 0))</f>
        <v>84.366033088235298</v>
      </c>
      <c r="AD26" s="75">
        <f>(INDEX(Input_disp_check!$N$42:$N$58, MATCH(B26,Input_disp_check!$B$42:$B$58,0)))/INDEX(profile_H!$K$6:$K$17,MATCH(E26, profile_H!$C$6:$C$17, 0))</f>
        <v>42.183016544117649</v>
      </c>
      <c r="AE26" s="78">
        <f>MIN(0.75*Input_disp_check!$C$6,0.63*Input_disp_check!$C$7)</f>
        <v>206.25</v>
      </c>
      <c r="AF26" s="79">
        <f>(INDEX(Input_disp_check!$Q$42:$Q$58, MATCH(B26,Input_disp_check!$B$42:$B$58,0)))/INDEX(profile_H!$N$6:$N$17, MATCH(E26, profile_H!$C$6:$C$17, 0))</f>
        <v>81.374329787234046</v>
      </c>
      <c r="AG26" s="80">
        <f>12*PI()^2*Input_disp_check!$C$8/(23*(G26*C26/INDEX(profile_H!$L$6:$L$17, MATCH(E26, profile_H!$C$6:$C$17, 0)))^2)</f>
        <v>756.52590351274148</v>
      </c>
      <c r="AH26" s="81">
        <f>12*PI()^2*Input_disp_check!$C$8/(23*(G26*C26/INDEX(profile_H!$O$6:$O$17, MATCH(E26, profile_H!$C$6:$C$17, 0)))^2)</f>
        <v>261.47684547173526</v>
      </c>
      <c r="AI26" s="82">
        <v>0.85</v>
      </c>
      <c r="AJ26" s="83">
        <f t="shared" si="6"/>
        <v>0.59192721400788573</v>
      </c>
      <c r="AK26" s="83">
        <f>(M26/(0.6*Input_disp_check!$C$6))+(AD26/AB26)+(AF26/AE26)</f>
        <v>0.66519265977936748</v>
      </c>
      <c r="AL26" s="83">
        <f t="shared" si="7"/>
        <v>0.67601724924249518</v>
      </c>
      <c r="AM26" s="169">
        <f t="shared" si="8"/>
        <v>0.67601724924249518</v>
      </c>
      <c r="AN26" s="156" t="str">
        <f t="shared" si="9"/>
        <v>OK</v>
      </c>
      <c r="AO26" s="83">
        <f t="shared" si="10"/>
        <v>0.44748707472578009</v>
      </c>
      <c r="AP26" s="83">
        <f>(M26/(0.6*Input_disp_check!$C$6))+(AC26/AB26)</f>
        <v>0.5030637690430132</v>
      </c>
      <c r="AQ26" s="83">
        <f t="shared" si="11"/>
        <v>0.51388835850614079</v>
      </c>
      <c r="AR26" s="169">
        <f t="shared" si="12"/>
        <v>0.51388835850614079</v>
      </c>
      <c r="AS26" s="157" t="str">
        <f t="shared" si="13"/>
        <v>OK</v>
      </c>
      <c r="AT26" s="78">
        <f>MIN(0.4*Input_disp_check!$C$6,0.33*Input_disp_check!$C$7)</f>
        <v>110</v>
      </c>
      <c r="AU26" s="86">
        <f>(INDEX(Input_disp_check!$I$42:$I$58, MATCH(B26,Input_disp_check!$B$42:$B$58,0)))/INDEX(profile_H!$T$6:$T$17, MATCH(E26, profile_H!$C$6:$C$17, 0))</f>
        <v>23.535959999999999</v>
      </c>
      <c r="AV26" s="169">
        <f t="shared" si="14"/>
        <v>0.21396327272727272</v>
      </c>
      <c r="AW26" s="157" t="str">
        <f t="shared" si="15"/>
        <v>OK</v>
      </c>
      <c r="AX26" s="52"/>
      <c r="AY26" s="213"/>
      <c r="AZ26" s="10"/>
      <c r="BA26" s="10"/>
      <c r="BB26" s="10"/>
      <c r="BC26" s="10"/>
      <c r="BD26" s="10"/>
    </row>
    <row r="27" spans="2:56" s="12" customFormat="1" ht="15" customHeight="1" x14ac:dyDescent="0.15">
      <c r="B27" s="96">
        <v>14</v>
      </c>
      <c r="C27" s="87">
        <f>(INDEX(Input_disp_check!$C$42:$C$58, MATCH(B27,Input_disp_check!$B$42:$B$58,0)))</f>
        <v>500</v>
      </c>
      <c r="D27" s="134" t="str">
        <f>(INDEX(Input_disp_check!$D$42:$D$58, MATCH(B27,Input_disp_check!$B$42:$B$58,0)))</f>
        <v>H -</v>
      </c>
      <c r="E27" s="135">
        <f>(INDEX(Input_disp_check!$E$42:$E$58, MATCH(B27,Input_disp_check!$B$42:$B$58,0)))</f>
        <v>150</v>
      </c>
      <c r="F27" s="78">
        <f>SQRT(2*PI()^2*Input_disp_check!$C$8/Input_disp_check!$C$6)</f>
        <v>122.77449910610369</v>
      </c>
      <c r="G27" s="137">
        <v>2</v>
      </c>
      <c r="H27" s="86">
        <f>G27*C27/(INDEX(profile_H!$O$6:$O$17, MATCH(E27, profile_H!$C$6:$C$17, 0)))</f>
        <v>26.666666666666668</v>
      </c>
      <c r="I27" s="73" t="str">
        <f t="shared" si="75"/>
        <v>OK</v>
      </c>
      <c r="J27" s="86">
        <f>12*PI()^2*Input_disp_check!$C$8/(23*H27^2)</f>
        <v>1520.6700259287131</v>
      </c>
      <c r="K27" s="73">
        <f>(1-H27^2/(2*F27^2))*Input_disp_check!$C$6 / ((5/3) + (3*H27/(8*F27))-(H27^3/(8*F27^3)))</f>
        <v>153.71408863750167</v>
      </c>
      <c r="L27" s="87">
        <f t="shared" ref="L27" si="76">IF(H27&lt;F27,K27,J27)</f>
        <v>153.71408863750167</v>
      </c>
      <c r="M27" s="79">
        <f>(INDEX(Input_disp_check!$I$42:$I$58, MATCH(B27,Input_disp_check!$B$42:$B$58,0)))/(INDEX(profile_H!$H$6:$H$17, MATCH(E27, profile_H!$C$6:$C$17, 0)))</f>
        <v>10.994002242152465</v>
      </c>
      <c r="N27" s="88" t="str">
        <f>IF(M27/Input_disp_check!$C$6&lt;=0.16,"OK","Warning")</f>
        <v>OK</v>
      </c>
      <c r="O27" s="86">
        <f>200*(INDEX(profile_H!$D$6:$D$17, MATCH(E27, profile_H!$C$6:$C$17, 0)))/SQRT(Input_disp_check!$C$6)</f>
        <v>1809.0680674665816</v>
      </c>
      <c r="P27" s="86">
        <f>138000/(E27/((INDEX(profile_H!$D$6:$D$17, MATCH(E27, profile_H!$C$6:$C$17, 0)))*(INDEX(profile_H!$F$6:$F$17, MATCH(E27, profile_H!$C$6:$C$17, 0))))*Input_disp_check!$C$6)</f>
        <v>5018.181818181818</v>
      </c>
      <c r="Q27" s="87">
        <f t="shared" ref="Q27" si="77">MIN(O27:P27)</f>
        <v>1809.0680674665816</v>
      </c>
      <c r="R27" s="86">
        <f>INDEX(profile_H!$I$6:$I$17, MATCH(E27, profile_H!$C$6:$C$17, 0))</f>
        <v>41.26984839825154</v>
      </c>
      <c r="S27" s="86">
        <f t="shared" ref="S27" si="78">(C27)/R27</f>
        <v>12.115382522732583</v>
      </c>
      <c r="T27" s="86">
        <f>(703.3*1000*V27/Input_disp_check!$C$6)^0.5</f>
        <v>50.571281825306201</v>
      </c>
      <c r="U27" s="86">
        <f>(3516*1000*V27/Input_disp_check!$C$6)^0.5</f>
        <v>113.07278428275544</v>
      </c>
      <c r="V27" s="82">
        <v>1</v>
      </c>
      <c r="W27" s="85">
        <f>MIN(0.66*Input_disp_check!$C$6, 0.55*Input_disp_check!$C$7)</f>
        <v>181.5</v>
      </c>
      <c r="X27" s="86">
        <f>MIN(((2/3)-(Input_disp_check!$C$6*(C27/R27)^2 / (10550 * 1000*V27))),0.6) * Input_disp_check!$C$6</f>
        <v>165</v>
      </c>
      <c r="Y27" s="86">
        <f>MIN((1172*1000*V27)/(C27/R27)^2, 0.6*Input_disp_check!$C$6)</f>
        <v>165</v>
      </c>
      <c r="Z27" s="86">
        <f>MIN((82740*V27)/(C27*E27/INDEX(profile_H!$U$6:$U$17, MATCH(E27, profile_H!$C$6:$C$17, 0))), 0.6*Input_disp_check!$C$6)</f>
        <v>165</v>
      </c>
      <c r="AA27" s="85">
        <f t="shared" ref="AA27" si="79">MAX(IF(S27&gt;=T27,IF(S27&lt;=U27,X27,Y27), Z27),Z27)</f>
        <v>165</v>
      </c>
      <c r="AB27" s="87">
        <f t="shared" ref="AB27" si="80">IF(C27&gt;Q27,AA27,W27)</f>
        <v>181.5</v>
      </c>
      <c r="AC27" s="86">
        <f>(INDEX(Input_disp_check!$P$42:$P$58, MATCH(B27,Input_disp_check!$B$42:$B$58,0)))/INDEX(profile_H!$K$6:$K$17,MATCH(E27, profile_H!$C$6:$C$17, 0))</f>
        <v>90.677928082191769</v>
      </c>
      <c r="AD27" s="79">
        <f>(INDEX(Input_disp_check!$N$42:$N$58, MATCH(B27,Input_disp_check!$B$42:$B$58,0)))/INDEX(profile_H!$K$6:$K$17,MATCH(E27, profile_H!$C$6:$C$17, 0))</f>
        <v>60.451952054794511</v>
      </c>
      <c r="AE27" s="78">
        <f>MIN(0.75*Input_disp_check!$C$6,0.63*Input_disp_check!$C$7)</f>
        <v>206.25</v>
      </c>
      <c r="AF27" s="79">
        <f>(INDEX(Input_disp_check!$Q$42:$Q$58, MATCH(B27,Input_disp_check!$B$42:$B$58,0)))/INDEX(profile_H!$N$6:$N$17, MATCH(E27, profile_H!$C$6:$C$17, 0))</f>
        <v>58.761551264980014</v>
      </c>
      <c r="AG27" s="80">
        <f>12*PI()^2*Input_disp_check!$C$8/(23*(G27*C27/INDEX(profile_H!$L$6:$L$17, MATCH(E27, profile_H!$C$6:$C$17, 0)))^2)</f>
        <v>4415.441818007027</v>
      </c>
      <c r="AH27" s="81">
        <f>12*PI()^2*Input_disp_check!$C$8/(23*(G27*C27/INDEX(profile_H!$O$6:$O$17, MATCH(E27, profile_H!$C$6:$C$17, 0)))^2)</f>
        <v>1520.6700259287131</v>
      </c>
      <c r="AI27" s="82">
        <v>0.85</v>
      </c>
      <c r="AJ27" s="83">
        <f t="shared" ref="AJ27" si="81">(M27/L27)+(AI27*AD27/((1-M27/AG27)*AB27))+(AI27*AF27/((1-M27/AH27)*AE27))</f>
        <v>0.59926977456691599</v>
      </c>
      <c r="AK27" s="83">
        <f>(M27/(0.6*Input_disp_check!$C$6))+(AD27/AB27)+(AF27/AE27)</f>
        <v>0.68460341396333124</v>
      </c>
      <c r="AL27" s="83">
        <f t="shared" ref="AL27" si="82">(M27/L27)+(AD27/AB27)+(AF27/AE27)</f>
        <v>0.68949550846217589</v>
      </c>
      <c r="AM27" s="169">
        <f t="shared" ref="AM27" si="83">IF(M27/L27&lt;=0.15,AL27,MAX(AJ27,AK27))</f>
        <v>0.68949550846217589</v>
      </c>
      <c r="AN27" s="156" t="str">
        <f t="shared" si="9"/>
        <v>OK</v>
      </c>
      <c r="AO27" s="83">
        <f t="shared" ref="AO27" si="84">(M27/L27)+(AI27*AC27/((1-M27/AG27)*AB27))</f>
        <v>0.49724489001902838</v>
      </c>
      <c r="AP27" s="83">
        <f>(M27/(0.6*Input_disp_check!$C$6))+(AC27/AB27)</f>
        <v>0.5662332261628622</v>
      </c>
      <c r="AQ27" s="83">
        <f t="shared" ref="AQ27" si="85">(M27/L27)+(AC27/AB27)</f>
        <v>0.57112532066170674</v>
      </c>
      <c r="AR27" s="169">
        <f t="shared" ref="AR27" si="86">IF(M27/L27&lt;=0.15,AQ27,MAX(AO27,AP27))</f>
        <v>0.57112532066170674</v>
      </c>
      <c r="AS27" s="157" t="str">
        <f t="shared" si="13"/>
        <v>OK</v>
      </c>
      <c r="AT27" s="78">
        <f>MIN(0.4*Input_disp_check!$C$6,0.33*Input_disp_check!$C$7)</f>
        <v>110</v>
      </c>
      <c r="AU27" s="86">
        <f>(INDEX(Input_disp_check!$I$42:$I$58, MATCH(B27,Input_disp_check!$B$42:$B$58,0)))/INDEX(profile_H!$T$6:$T$17, MATCH(E27, profile_H!$C$6:$C$17, 0))</f>
        <v>42.028499999999994</v>
      </c>
      <c r="AV27" s="169">
        <f t="shared" ref="AV27" si="87">AU27/AT27</f>
        <v>0.38207727272727265</v>
      </c>
      <c r="AW27" s="157" t="str">
        <f t="shared" si="15"/>
        <v>OK</v>
      </c>
      <c r="AX27" s="52"/>
      <c r="AY27" s="219" t="s">
        <v>223</v>
      </c>
      <c r="AZ27" s="214"/>
      <c r="BA27" s="214"/>
      <c r="BB27" s="10"/>
      <c r="BC27" s="10"/>
      <c r="BD27" s="10"/>
    </row>
    <row r="28" spans="2:56" s="12" customFormat="1" ht="15" customHeight="1" x14ac:dyDescent="0.15">
      <c r="B28" s="96">
        <v>15</v>
      </c>
      <c r="C28" s="87">
        <f>(INDEX(Input_disp_check!$C$42:$C$58, MATCH(B28,Input_disp_check!$B$42:$B$58,0)))</f>
        <v>500</v>
      </c>
      <c r="D28" s="134" t="str">
        <f>(INDEX(Input_disp_check!$D$42:$D$58, MATCH(B28,Input_disp_check!$B$42:$B$58,0)))</f>
        <v>H -</v>
      </c>
      <c r="E28" s="135">
        <f>(INDEX(Input_disp_check!$E$42:$E$58, MATCH(B28,Input_disp_check!$B$42:$B$58,0)))</f>
        <v>125</v>
      </c>
      <c r="F28" s="78">
        <f>SQRT(2*PI()^2*Input_disp_check!$C$8/Input_disp_check!$C$6)</f>
        <v>122.77449910610369</v>
      </c>
      <c r="G28" s="137">
        <v>2</v>
      </c>
      <c r="H28" s="86">
        <f>G28*C28/(INDEX(profile_H!$O$6:$O$17, MATCH(E28, profile_H!$C$6:$C$17, 0)))</f>
        <v>32.154340836012864</v>
      </c>
      <c r="I28" s="73" t="str">
        <f t="shared" si="75"/>
        <v>OK</v>
      </c>
      <c r="J28" s="86">
        <f>12*PI()^2*Input_disp_check!$C$8/(23*H28^2)</f>
        <v>1045.907381886941</v>
      </c>
      <c r="K28" s="73">
        <f>(1-H28^2/(2*F28^2))*Input_disp_check!$C$6 / ((5/3) + (3*H28/(8*F28))-(H28^3/(8*F28^3)))</f>
        <v>150.66599849728613</v>
      </c>
      <c r="L28" s="87">
        <f t="shared" ref="L28" si="88">IF(H28&lt;F28,K28,J28)</f>
        <v>150.66599849728613</v>
      </c>
      <c r="M28" s="79">
        <f>(INDEX(Input_disp_check!$I$42:$I$58, MATCH(B28,Input_disp_check!$B$42:$B$58,0)))/(INDEX(profile_H!$H$6:$H$17, MATCH(E28, profile_H!$C$6:$C$17, 0)))</f>
        <v>9.3828060046189368</v>
      </c>
      <c r="N28" s="88" t="str">
        <f>IF(M28/Input_disp_check!$C$6&lt;=0.16,"OK","Warning")</f>
        <v>OK</v>
      </c>
      <c r="O28" s="86">
        <f>200*(INDEX(profile_H!$D$6:$D$17, MATCH(E28, profile_H!$C$6:$C$17, 0)))/SQRT(Input_disp_check!$C$6)</f>
        <v>1507.5567228888181</v>
      </c>
      <c r="P28" s="86">
        <f>138000/(E28/((INDEX(profile_H!$D$6:$D$17, MATCH(E28, profile_H!$C$6:$C$17, 0)))*(INDEX(profile_H!$F$6:$F$17, MATCH(E28, profile_H!$C$6:$C$17, 0))))*Input_disp_check!$C$6)</f>
        <v>4516.3636363636369</v>
      </c>
      <c r="Q28" s="87">
        <f t="shared" ref="Q28" si="89">MIN(O28:P28)</f>
        <v>1507.5567228888181</v>
      </c>
      <c r="R28" s="86">
        <f>INDEX(profile_H!$I$6:$I$17, MATCH(E28, profile_H!$C$6:$C$17, 0))</f>
        <v>34.362506408833305</v>
      </c>
      <c r="S28" s="86">
        <f t="shared" ref="S28" si="90">(C28)/R28</f>
        <v>14.550743011908725</v>
      </c>
      <c r="T28" s="86">
        <f>(703.3*1000*V28/Input_disp_check!$C$6)^0.5</f>
        <v>50.571281825306201</v>
      </c>
      <c r="U28" s="86">
        <f>(3516*1000*V28/Input_disp_check!$C$6)^0.5</f>
        <v>113.07278428275544</v>
      </c>
      <c r="V28" s="82">
        <v>1</v>
      </c>
      <c r="W28" s="85">
        <f>MIN(0.66*Input_disp_check!$C$6, 0.55*Input_disp_check!$C$7)</f>
        <v>181.5</v>
      </c>
      <c r="X28" s="86">
        <f>MIN(((2/3)-(Input_disp_check!$C$6*(C28/R28)^2 / (10550 * 1000*V28))),0.6) * Input_disp_check!$C$6</f>
        <v>165</v>
      </c>
      <c r="Y28" s="86">
        <f>MIN((1172*1000*V28)/(C28/R28)^2, 0.6*Input_disp_check!$C$6)</f>
        <v>165</v>
      </c>
      <c r="Z28" s="86">
        <f>MIN((82740*V28)/(C28*E28/INDEX(profile_H!$U$6:$U$17, MATCH(E28, profile_H!$C$6:$C$17, 0))), 0.6*Input_disp_check!$C$6)</f>
        <v>165</v>
      </c>
      <c r="AA28" s="85">
        <f t="shared" ref="AA28" si="91">MAX(IF(S28&gt;=T28,IF(S28&lt;=U28,X28,Y28), Z28),Z28)</f>
        <v>165</v>
      </c>
      <c r="AB28" s="87">
        <f t="shared" ref="AB28" si="92">IF(C28&gt;Q28,AA28,W28)</f>
        <v>181.5</v>
      </c>
      <c r="AC28" s="86">
        <f>(INDEX(Input_disp_check!$P$42:$P$58, MATCH(B28,Input_disp_check!$B$42:$B$58,0)))/INDEX(profile_H!$K$6:$K$17,MATCH(E28, profile_H!$C$6:$C$17, 0))</f>
        <v>94.100575367647053</v>
      </c>
      <c r="AD28" s="79">
        <f>(INDEX(Input_disp_check!$N$42:$N$58, MATCH(B28,Input_disp_check!$B$42:$B$58,0)))/INDEX(profile_H!$K$6:$K$17,MATCH(E28, profile_H!$C$6:$C$17, 0))</f>
        <v>62.733716911764709</v>
      </c>
      <c r="AE28" s="78">
        <f>MIN(0.75*Input_disp_check!$C$6,0.63*Input_disp_check!$C$7)</f>
        <v>206.25</v>
      </c>
      <c r="AF28" s="79">
        <f>(INDEX(Input_disp_check!$Q$42:$Q$58, MATCH(B28,Input_disp_check!$B$42:$B$58,0)))/INDEX(profile_H!$N$6:$N$17, MATCH(E28, profile_H!$C$6:$C$17, 0))</f>
        <v>60.509117021276595</v>
      </c>
      <c r="AG28" s="80">
        <f>12*PI()^2*Input_disp_check!$C$8/(23*(G28*C28/INDEX(profile_H!$L$6:$L$17, MATCH(E28, profile_H!$C$6:$C$17, 0)))^2)</f>
        <v>3026.1036140509659</v>
      </c>
      <c r="AH28" s="81">
        <f>12*PI()^2*Input_disp_check!$C$8/(23*(G28*C28/INDEX(profile_H!$O$6:$O$17, MATCH(E28, profile_H!$C$6:$C$17, 0)))^2)</f>
        <v>1045.907381886941</v>
      </c>
      <c r="AI28" s="82">
        <v>0.85</v>
      </c>
      <c r="AJ28" s="83">
        <f t="shared" ref="AJ28" si="93">(M28/L28)+(AI28*AD28/((1-M28/AG28)*AB28))+(AI28*AF28/((1-M28/AH28)*AE28))</f>
        <v>0.6086118388923456</v>
      </c>
      <c r="AK28" s="83">
        <f>(M28/(0.6*Input_disp_check!$C$6))+(AD28/AB28)+(AF28/AE28)</f>
        <v>0.69588334157338272</v>
      </c>
      <c r="AL28" s="83">
        <f t="shared" ref="AL28" si="94">(M28/L28)+(AD28/AB28)+(AF28/AE28)</f>
        <v>0.70129338790549789</v>
      </c>
      <c r="AM28" s="169">
        <f t="shared" ref="AM28" si="95">IF(M28/L28&lt;=0.15,AL28,MAX(AJ28,AK28))</f>
        <v>0.70129338790549789</v>
      </c>
      <c r="AN28" s="156" t="str">
        <f t="shared" ref="AN28" si="96">IF(AM28&lt;=1,"OK","NG")</f>
        <v>OK</v>
      </c>
      <c r="AO28" s="83">
        <f t="shared" ref="AO28" si="97">(M28/L28)+(AI28*AC28/((1-M28/AG28)*AB28))</f>
        <v>0.50433760480921441</v>
      </c>
      <c r="AP28" s="83">
        <f>(M28/(0.6*Input_disp_check!$C$6))+(AC28/AB28)</f>
        <v>0.57532596128224733</v>
      </c>
      <c r="AQ28" s="83">
        <f t="shared" ref="AQ28" si="98">(M28/L28)+(AC28/AB28)</f>
        <v>0.58073600761436261</v>
      </c>
      <c r="AR28" s="169">
        <f t="shared" ref="AR28" si="99">IF(M28/L28&lt;=0.15,AQ28,MAX(AO28,AP28))</f>
        <v>0.58073600761436261</v>
      </c>
      <c r="AS28" s="157" t="str">
        <f t="shared" ref="AS28" si="100">IF(AR28&lt;=1,"OK","NG")</f>
        <v>OK</v>
      </c>
      <c r="AT28" s="78">
        <f>MIN(0.4*Input_disp_check!$C$6,0.33*Input_disp_check!$C$7)</f>
        <v>110</v>
      </c>
      <c r="AU28" s="86">
        <f>(INDEX(Input_disp_check!$I$42:$I$58, MATCH(B28,Input_disp_check!$B$42:$B$58,0)))/INDEX(profile_H!$T$6:$T$17, MATCH(E28, profile_H!$C$6:$C$17, 0))</f>
        <v>35.002196923076923</v>
      </c>
      <c r="AV28" s="169">
        <f t="shared" ref="AV28" si="101">AU28/AT28</f>
        <v>0.31820179020979023</v>
      </c>
      <c r="AW28" s="157" t="str">
        <f t="shared" ref="AW28" si="102">IF(AV28&lt;=1,"OK","NG")</f>
        <v>OK</v>
      </c>
      <c r="AX28" s="52"/>
      <c r="AY28" s="219" t="s">
        <v>223</v>
      </c>
      <c r="AZ28" s="214"/>
      <c r="BA28" s="214"/>
      <c r="BB28" s="10"/>
      <c r="BC28" s="10"/>
      <c r="BD28" s="10"/>
    </row>
    <row r="29" spans="2:56" s="12" customFormat="1" ht="15" customHeight="1" x14ac:dyDescent="0.15">
      <c r="B29" s="97"/>
      <c r="C29" s="87"/>
      <c r="D29" s="134"/>
      <c r="E29" s="135"/>
      <c r="F29" s="78"/>
      <c r="G29" s="137"/>
      <c r="H29" s="86"/>
      <c r="I29" s="86"/>
      <c r="J29" s="86"/>
      <c r="K29" s="86"/>
      <c r="L29" s="87"/>
      <c r="M29" s="79"/>
      <c r="N29" s="88"/>
      <c r="O29" s="86"/>
      <c r="P29" s="86"/>
      <c r="Q29" s="87"/>
      <c r="R29" s="86"/>
      <c r="S29" s="86"/>
      <c r="T29" s="86"/>
      <c r="U29" s="86"/>
      <c r="V29" s="82"/>
      <c r="W29" s="85"/>
      <c r="X29" s="86"/>
      <c r="Y29" s="86"/>
      <c r="Z29" s="86"/>
      <c r="AA29" s="85"/>
      <c r="AB29" s="87"/>
      <c r="AC29" s="86"/>
      <c r="AD29" s="79"/>
      <c r="AE29" s="78"/>
      <c r="AF29" s="79"/>
      <c r="AG29" s="80"/>
      <c r="AH29" s="81"/>
      <c r="AI29" s="82"/>
      <c r="AJ29" s="83"/>
      <c r="AK29" s="83"/>
      <c r="AL29" s="83"/>
      <c r="AM29" s="84"/>
      <c r="AN29" s="156"/>
      <c r="AO29" s="83"/>
      <c r="AP29" s="83"/>
      <c r="AQ29" s="83"/>
      <c r="AR29" s="84"/>
      <c r="AS29" s="157"/>
      <c r="AT29" s="78"/>
      <c r="AU29" s="86"/>
      <c r="AV29" s="84"/>
      <c r="AW29" s="157"/>
      <c r="AX29" s="52"/>
      <c r="AY29" s="10"/>
      <c r="AZ29" s="10"/>
      <c r="BA29" s="10"/>
      <c r="BB29" s="10"/>
      <c r="BC29" s="10"/>
      <c r="BD29" s="10"/>
    </row>
    <row r="30" spans="2:56" s="12" customFormat="1" ht="15" customHeight="1" thickBot="1" x14ac:dyDescent="0.2">
      <c r="B30" s="31"/>
      <c r="C30" s="32"/>
      <c r="D30" s="33"/>
      <c r="E30" s="34"/>
      <c r="F30" s="35"/>
      <c r="G30" s="36"/>
      <c r="H30" s="37"/>
      <c r="I30" s="37"/>
      <c r="J30" s="37"/>
      <c r="K30" s="37"/>
      <c r="L30" s="38"/>
      <c r="M30" s="39"/>
      <c r="N30" s="40"/>
      <c r="O30" s="37"/>
      <c r="P30" s="37"/>
      <c r="Q30" s="38"/>
      <c r="R30" s="37"/>
      <c r="S30" s="37"/>
      <c r="T30" s="37"/>
      <c r="U30" s="37"/>
      <c r="V30" s="41"/>
      <c r="W30" s="32"/>
      <c r="X30" s="37"/>
      <c r="Y30" s="37"/>
      <c r="Z30" s="37"/>
      <c r="AA30" s="32"/>
      <c r="AB30" s="37"/>
      <c r="AC30" s="44"/>
      <c r="AD30" s="39"/>
      <c r="AE30" s="35"/>
      <c r="AF30" s="39"/>
      <c r="AG30" s="31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3"/>
      <c r="AT30" s="35"/>
      <c r="AU30" s="37"/>
      <c r="AV30" s="44"/>
      <c r="AW30" s="45"/>
      <c r="AY30" s="10"/>
      <c r="AZ30" s="10"/>
      <c r="BA30" s="10"/>
      <c r="BB30" s="10"/>
      <c r="BC30" s="10"/>
      <c r="BD30" s="10"/>
    </row>
    <row r="31" spans="2:56" s="12" customFormat="1" ht="15" customHeight="1" x14ac:dyDescent="0.15">
      <c r="C31" s="18"/>
      <c r="D31" s="19"/>
      <c r="E31" s="20"/>
      <c r="AY31" s="10"/>
      <c r="AZ31" s="10"/>
      <c r="BA31" s="10"/>
      <c r="BB31" s="10"/>
      <c r="BC31" s="10"/>
      <c r="BD31" s="10"/>
    </row>
    <row r="32" spans="2:56" s="23" customFormat="1" ht="15" customHeight="1" x14ac:dyDescent="0.25">
      <c r="B32" s="128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AC32" s="277"/>
      <c r="AD32" s="277"/>
      <c r="AY32" s="24"/>
      <c r="AZ32" s="24"/>
      <c r="BA32" s="24"/>
      <c r="BB32" s="24"/>
      <c r="BC32" s="24"/>
      <c r="BD32" s="24"/>
    </row>
    <row r="33" spans="2:56" s="30" customFormat="1" ht="11.1" customHeight="1" x14ac:dyDescent="0.15">
      <c r="B33" s="49"/>
      <c r="C33" s="235" t="s">
        <v>0</v>
      </c>
      <c r="D33" s="90" t="s">
        <v>111</v>
      </c>
      <c r="E33" s="91"/>
      <c r="F33" s="91"/>
      <c r="G33" s="91"/>
      <c r="H33" s="91"/>
      <c r="I33" s="46"/>
      <c r="J33" s="46"/>
      <c r="K33" s="46"/>
      <c r="L33" s="46"/>
      <c r="M33" s="46"/>
      <c r="N33" s="47"/>
      <c r="O33" s="48"/>
      <c r="P33" s="46"/>
      <c r="Q33" s="46"/>
      <c r="R33" s="46"/>
      <c r="S33" s="46"/>
      <c r="T33" s="46" t="s">
        <v>1</v>
      </c>
      <c r="U33" s="46" t="s">
        <v>2</v>
      </c>
      <c r="V33" s="46" t="s">
        <v>3</v>
      </c>
      <c r="W33" s="46" t="s">
        <v>4</v>
      </c>
      <c r="X33" s="181"/>
      <c r="Y33" s="181"/>
      <c r="Z33" s="46" t="s">
        <v>3</v>
      </c>
      <c r="AA33" s="46"/>
      <c r="AB33" s="46"/>
      <c r="AC33" s="46"/>
      <c r="AD33" s="46"/>
      <c r="AE33" s="46"/>
      <c r="AF33" s="46"/>
      <c r="AG33" s="46"/>
      <c r="AH33" s="46"/>
      <c r="AI33" s="46"/>
      <c r="AJ33" s="46" t="s">
        <v>6</v>
      </c>
      <c r="AK33" s="46" t="s">
        <v>7</v>
      </c>
      <c r="AL33" s="46" t="s">
        <v>8</v>
      </c>
      <c r="AM33" s="46"/>
      <c r="AN33" s="46"/>
      <c r="AO33" s="46" t="s">
        <v>6</v>
      </c>
      <c r="AP33" s="46" t="s">
        <v>7</v>
      </c>
      <c r="AQ33" s="46" t="s">
        <v>8</v>
      </c>
      <c r="AR33" s="46"/>
      <c r="AS33" s="46"/>
      <c r="AT33" s="46"/>
      <c r="AU33" s="46"/>
      <c r="AV33" s="46"/>
      <c r="AW33" s="46"/>
      <c r="AX33" s="50"/>
      <c r="AY33" s="210"/>
      <c r="AZ33" s="210"/>
      <c r="BA33" s="210"/>
      <c r="BB33" s="210"/>
      <c r="BC33" s="210"/>
      <c r="BD33" s="210"/>
    </row>
    <row r="34" spans="2:56" s="30" customFormat="1" ht="11.1" customHeight="1" x14ac:dyDescent="0.15">
      <c r="B34" s="49"/>
      <c r="C34" s="236"/>
      <c r="D34" s="92" t="s">
        <v>112</v>
      </c>
      <c r="E34" s="92"/>
      <c r="F34" s="91"/>
      <c r="G34" s="91"/>
      <c r="H34" s="91"/>
      <c r="I34" s="46"/>
      <c r="J34" s="46"/>
      <c r="K34" s="46"/>
      <c r="L34" s="46"/>
      <c r="M34" s="46"/>
      <c r="N34" s="47"/>
      <c r="O34" s="48"/>
      <c r="P34" s="46"/>
      <c r="Q34" s="46"/>
      <c r="R34" s="46"/>
      <c r="S34" s="46"/>
      <c r="T34" s="46"/>
      <c r="U34" s="46"/>
      <c r="V34" s="46"/>
      <c r="W34" s="46" t="s">
        <v>9</v>
      </c>
      <c r="X34" s="181"/>
      <c r="Y34" s="181"/>
      <c r="Z34" s="46" t="s">
        <v>12</v>
      </c>
      <c r="AA34" s="46"/>
      <c r="AB34" s="46"/>
      <c r="AC34" s="46"/>
      <c r="AD34" s="46"/>
      <c r="AE34" s="46" t="s">
        <v>208</v>
      </c>
      <c r="AF34" s="46"/>
      <c r="AG34" s="46"/>
      <c r="AH34" s="46"/>
      <c r="AI34" s="46"/>
      <c r="AJ34" s="46" t="s">
        <v>13</v>
      </c>
      <c r="AK34" s="46" t="s">
        <v>14</v>
      </c>
      <c r="AL34" s="46" t="s">
        <v>15</v>
      </c>
      <c r="AM34" s="46"/>
      <c r="AN34" s="46"/>
      <c r="AO34" s="46" t="s">
        <v>13</v>
      </c>
      <c r="AP34" s="46" t="s">
        <v>14</v>
      </c>
      <c r="AQ34" s="46" t="s">
        <v>15</v>
      </c>
      <c r="AR34" s="46"/>
      <c r="AS34" s="46"/>
      <c r="AT34" s="46"/>
      <c r="AU34" s="46"/>
      <c r="AV34" s="46"/>
      <c r="AW34" s="46"/>
      <c r="AX34" s="50"/>
      <c r="AY34" s="210"/>
      <c r="AZ34" s="210"/>
      <c r="BA34" s="210"/>
      <c r="BB34" s="210"/>
      <c r="BC34" s="210"/>
      <c r="BD34" s="210"/>
    </row>
    <row r="35" spans="2:56" s="30" customFormat="1" ht="11.1" customHeight="1" thickBot="1" x14ac:dyDescent="0.2">
      <c r="B35" s="49"/>
      <c r="C35" s="92"/>
      <c r="D35" s="92"/>
      <c r="E35" s="92"/>
      <c r="F35" s="91"/>
      <c r="G35" s="91"/>
      <c r="H35" s="91"/>
      <c r="I35" s="46"/>
      <c r="J35" s="46"/>
      <c r="K35" s="46"/>
      <c r="L35" s="46"/>
      <c r="M35" s="46"/>
      <c r="N35" s="47"/>
      <c r="O35" s="48"/>
      <c r="P35" s="46"/>
      <c r="Q35" s="46"/>
      <c r="R35" s="46"/>
      <c r="S35" s="46"/>
      <c r="T35" s="46"/>
      <c r="U35" s="46"/>
      <c r="V35" s="46"/>
      <c r="W35" s="46"/>
      <c r="X35" s="181"/>
      <c r="Y35" s="181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50"/>
      <c r="AY35" s="210"/>
      <c r="AZ35" s="210"/>
      <c r="BA35" s="210"/>
      <c r="BB35" s="210"/>
      <c r="BC35" s="210"/>
      <c r="BD35" s="210"/>
    </row>
    <row r="36" spans="2:56" s="30" customFormat="1" ht="20.100000000000001" customHeight="1" thickBot="1" x14ac:dyDescent="0.2">
      <c r="B36" s="232" t="s">
        <v>205</v>
      </c>
      <c r="C36" s="233"/>
      <c r="D36" s="233"/>
      <c r="E36" s="234"/>
      <c r="F36" s="91"/>
      <c r="G36" s="91"/>
      <c r="H36" s="91"/>
      <c r="I36" s="46"/>
      <c r="J36" s="46"/>
      <c r="K36" s="46"/>
      <c r="L36" s="46"/>
      <c r="M36" s="46"/>
      <c r="N36" s="47"/>
      <c r="O36" s="48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50"/>
      <c r="AY36" s="210"/>
      <c r="AZ36" s="210"/>
      <c r="BA36" s="210"/>
      <c r="BB36" s="210"/>
      <c r="BC36" s="210"/>
      <c r="BD36" s="210"/>
    </row>
    <row r="37" spans="2:56" s="16" customFormat="1" ht="20.100000000000001" customHeight="1" x14ac:dyDescent="0.15">
      <c r="B37" s="247" t="s">
        <v>16</v>
      </c>
      <c r="C37" s="250" t="s">
        <v>113</v>
      </c>
      <c r="D37" s="253" t="s">
        <v>17</v>
      </c>
      <c r="E37" s="254"/>
      <c r="F37" s="259" t="s">
        <v>18</v>
      </c>
      <c r="G37" s="260"/>
      <c r="H37" s="260"/>
      <c r="I37" s="260"/>
      <c r="J37" s="260"/>
      <c r="K37" s="260"/>
      <c r="L37" s="260"/>
      <c r="M37" s="260"/>
      <c r="N37" s="259" t="s">
        <v>19</v>
      </c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60"/>
      <c r="AA37" s="260"/>
      <c r="AB37" s="260"/>
      <c r="AC37" s="260"/>
      <c r="AD37" s="263"/>
      <c r="AE37" s="240" t="s">
        <v>131</v>
      </c>
      <c r="AF37" s="241"/>
      <c r="AG37" s="244" t="s">
        <v>20</v>
      </c>
      <c r="AH37" s="245"/>
      <c r="AI37" s="245"/>
      <c r="AJ37" s="245"/>
      <c r="AK37" s="245"/>
      <c r="AL37" s="245"/>
      <c r="AM37" s="245"/>
      <c r="AN37" s="245"/>
      <c r="AO37" s="245"/>
      <c r="AP37" s="245"/>
      <c r="AQ37" s="245"/>
      <c r="AR37" s="245"/>
      <c r="AS37" s="246"/>
      <c r="AT37" s="267" t="s">
        <v>21</v>
      </c>
      <c r="AU37" s="268"/>
      <c r="AV37" s="268"/>
      <c r="AW37" s="269"/>
      <c r="AY37" s="211"/>
      <c r="AZ37" s="211"/>
      <c r="BA37" s="211"/>
      <c r="BB37" s="211"/>
      <c r="BC37" s="211"/>
      <c r="BD37" s="211"/>
    </row>
    <row r="38" spans="2:56" s="16" customFormat="1" ht="20.100000000000001" customHeight="1" x14ac:dyDescent="0.15">
      <c r="B38" s="248"/>
      <c r="C38" s="251"/>
      <c r="D38" s="255"/>
      <c r="E38" s="256"/>
      <c r="F38" s="261"/>
      <c r="G38" s="262"/>
      <c r="H38" s="262"/>
      <c r="I38" s="262"/>
      <c r="J38" s="262"/>
      <c r="K38" s="262"/>
      <c r="L38" s="262"/>
      <c r="M38" s="262"/>
      <c r="N38" s="261"/>
      <c r="O38" s="262"/>
      <c r="P38" s="262"/>
      <c r="Q38" s="262"/>
      <c r="R38" s="262"/>
      <c r="S38" s="262"/>
      <c r="T38" s="262"/>
      <c r="U38" s="262"/>
      <c r="V38" s="262"/>
      <c r="W38" s="262"/>
      <c r="X38" s="262"/>
      <c r="Y38" s="262"/>
      <c r="Z38" s="262"/>
      <c r="AA38" s="262"/>
      <c r="AB38" s="262"/>
      <c r="AC38" s="262"/>
      <c r="AD38" s="264"/>
      <c r="AE38" s="242"/>
      <c r="AF38" s="243"/>
      <c r="AG38" s="270" t="s">
        <v>132</v>
      </c>
      <c r="AH38" s="271"/>
      <c r="AI38" s="271"/>
      <c r="AJ38" s="271" t="s">
        <v>133</v>
      </c>
      <c r="AK38" s="271"/>
      <c r="AL38" s="271"/>
      <c r="AM38" s="271"/>
      <c r="AN38" s="271"/>
      <c r="AO38" s="271" t="s">
        <v>134</v>
      </c>
      <c r="AP38" s="271"/>
      <c r="AQ38" s="271"/>
      <c r="AR38" s="271"/>
      <c r="AS38" s="272"/>
      <c r="AT38" s="273" t="s">
        <v>138</v>
      </c>
      <c r="AU38" s="274"/>
      <c r="AV38" s="274"/>
      <c r="AW38" s="275"/>
      <c r="AY38" s="211"/>
      <c r="AZ38" s="211"/>
      <c r="BA38" s="211"/>
      <c r="BB38" s="211"/>
      <c r="BC38" s="211"/>
      <c r="BD38" s="211"/>
    </row>
    <row r="39" spans="2:56" s="16" customFormat="1" ht="35.1" customHeight="1" x14ac:dyDescent="0.15">
      <c r="B39" s="249"/>
      <c r="C39" s="252"/>
      <c r="D39" s="257"/>
      <c r="E39" s="258"/>
      <c r="F39" s="55" t="s">
        <v>22</v>
      </c>
      <c r="G39" s="56" t="s">
        <v>23</v>
      </c>
      <c r="H39" s="265" t="s">
        <v>248</v>
      </c>
      <c r="I39" s="266"/>
      <c r="J39" s="54" t="s">
        <v>24</v>
      </c>
      <c r="K39" s="54" t="s">
        <v>25</v>
      </c>
      <c r="L39" s="54" t="s">
        <v>26</v>
      </c>
      <c r="M39" s="57" t="s">
        <v>27</v>
      </c>
      <c r="N39" s="58" t="s">
        <v>28</v>
      </c>
      <c r="O39" s="54" t="s">
        <v>29</v>
      </c>
      <c r="P39" s="54" t="s">
        <v>30</v>
      </c>
      <c r="Q39" s="54" t="s">
        <v>31</v>
      </c>
      <c r="R39" s="54" t="s">
        <v>32</v>
      </c>
      <c r="S39" s="54" t="s">
        <v>33</v>
      </c>
      <c r="T39" s="54" t="s">
        <v>34</v>
      </c>
      <c r="U39" s="54" t="s">
        <v>35</v>
      </c>
      <c r="V39" s="59" t="s">
        <v>36</v>
      </c>
      <c r="W39" s="54" t="s">
        <v>37</v>
      </c>
      <c r="X39" s="54" t="s">
        <v>38</v>
      </c>
      <c r="Y39" s="54" t="s">
        <v>39</v>
      </c>
      <c r="Z39" s="54" t="s">
        <v>40</v>
      </c>
      <c r="AA39" s="54" t="s">
        <v>41</v>
      </c>
      <c r="AB39" s="54" t="s">
        <v>42</v>
      </c>
      <c r="AC39" s="54" t="s">
        <v>126</v>
      </c>
      <c r="AD39" s="57" t="s">
        <v>125</v>
      </c>
      <c r="AE39" s="53" t="s">
        <v>43</v>
      </c>
      <c r="AF39" s="57" t="s">
        <v>44</v>
      </c>
      <c r="AG39" s="53" t="s">
        <v>45</v>
      </c>
      <c r="AH39" s="54" t="s">
        <v>46</v>
      </c>
      <c r="AI39" s="54" t="s">
        <v>47</v>
      </c>
      <c r="AJ39" s="54" t="s">
        <v>135</v>
      </c>
      <c r="AK39" s="54" t="s">
        <v>136</v>
      </c>
      <c r="AL39" s="54" t="s">
        <v>137</v>
      </c>
      <c r="AM39" s="54" t="s">
        <v>48</v>
      </c>
      <c r="AN39" s="54" t="s">
        <v>49</v>
      </c>
      <c r="AO39" s="54" t="s">
        <v>135</v>
      </c>
      <c r="AP39" s="54" t="s">
        <v>136</v>
      </c>
      <c r="AQ39" s="54" t="s">
        <v>137</v>
      </c>
      <c r="AR39" s="54" t="s">
        <v>48</v>
      </c>
      <c r="AS39" s="57" t="s">
        <v>49</v>
      </c>
      <c r="AT39" s="53" t="s">
        <v>50</v>
      </c>
      <c r="AU39" s="54" t="s">
        <v>51</v>
      </c>
      <c r="AV39" s="60" t="s">
        <v>52</v>
      </c>
      <c r="AW39" s="57" t="s">
        <v>49</v>
      </c>
      <c r="AX39" s="51"/>
      <c r="AY39" s="211"/>
      <c r="AZ39" s="211"/>
      <c r="BA39" s="211"/>
      <c r="BB39" s="211"/>
      <c r="BC39" s="211"/>
      <c r="BD39" s="211"/>
    </row>
    <row r="40" spans="2:56" s="17" customFormat="1" ht="8.1" customHeight="1" x14ac:dyDescent="0.15">
      <c r="B40" s="61"/>
      <c r="C40" s="62"/>
      <c r="D40" s="63"/>
      <c r="E40" s="64"/>
      <c r="F40" s="65"/>
      <c r="G40" s="66"/>
      <c r="H40" s="66"/>
      <c r="I40" s="66"/>
      <c r="J40" s="66"/>
      <c r="K40" s="66"/>
      <c r="L40" s="66"/>
      <c r="M40" s="67"/>
      <c r="N40" s="68"/>
      <c r="O40" s="69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70"/>
      <c r="AD40" s="67"/>
      <c r="AE40" s="65"/>
      <c r="AF40" s="67"/>
      <c r="AG40" s="65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5"/>
      <c r="AU40" s="66"/>
      <c r="AV40" s="70"/>
      <c r="AW40" s="67"/>
      <c r="AX40" s="29"/>
      <c r="AY40" s="212"/>
      <c r="AZ40" s="212"/>
      <c r="BA40" s="212"/>
      <c r="BB40" s="212"/>
      <c r="BC40" s="212"/>
      <c r="BD40" s="212"/>
    </row>
    <row r="41" spans="2:56" s="12" customFormat="1" ht="15" customHeight="1" x14ac:dyDescent="0.15">
      <c r="B41" s="96">
        <v>1</v>
      </c>
      <c r="C41" s="87">
        <f>(INDEX(Input_disp_check!$C$65:$C$80, MATCH(B41,Input_disp_check!$B$65:$B$80,0)))</f>
        <v>3000</v>
      </c>
      <c r="D41" s="132" t="str">
        <f>(INDEX(Input_disp_check!$D$65:$D$80, MATCH(B41,Input_disp_check!$B$65:$B$80,0)))</f>
        <v>C -</v>
      </c>
      <c r="E41" s="133">
        <f>(INDEX(Input_disp_check!$E$65:$E$80, MATCH(B41,Input_disp_check!$B$65:$B$80,0)))</f>
        <v>200</v>
      </c>
      <c r="F41" s="72">
        <f>SQRT(2*PI()^2*Input_disp_check!$C$8/Input_disp_check!$C$6)</f>
        <v>122.77449910610369</v>
      </c>
      <c r="G41" s="136">
        <v>2</v>
      </c>
      <c r="H41" s="73">
        <f>G41*C41/(INDEX(profile_C!$O$6:$O$17, MATCH(E41, profile_C!$C$6:$C$17, 0)))</f>
        <v>223.88059701492537</v>
      </c>
      <c r="I41" s="73" t="str">
        <f>IF(H41&gt;200, "N.G","OK")</f>
        <v>N.G</v>
      </c>
      <c r="J41" s="73">
        <f>12*PI()^2*Input_disp_check!$C$8/(23*H41^2)</f>
        <v>21.574440284899541</v>
      </c>
      <c r="K41" s="73">
        <f>(1-H41^2/(2*F41^2))*Input_disp_check!$C$6 / ((5/3) + (3*H41/(8*F41))-(H41^3/(8*F41^3)))</f>
        <v>-114.41683451626614</v>
      </c>
      <c r="L41" s="74">
        <f t="shared" ref="L41" si="103">IF(H41&lt;F41,K41,J41)</f>
        <v>21.574440284899541</v>
      </c>
      <c r="M41" s="75">
        <f>(INDEX(Input_disp_check!$I$65:$I$80, MATCH(B41,Input_disp_check!$B$65:$B$80,0)))/(INDEX(profile_C!$H$6:$H$17, MATCH(E41, profile_C!$C$6:$C$17, 0)))</f>
        <v>1.1417833117723155</v>
      </c>
      <c r="N41" s="76" t="str">
        <f>IF(M41/Input_disp_check!$C$6&lt;=0.16,"OK","Warning")</f>
        <v>OK</v>
      </c>
      <c r="O41" s="73">
        <f>200*(INDEX(profile_C!$D$6:$D$17, MATCH(E41, profile_C!$C$6:$C$17, 0)))/SQRT(Input_disp_check!$C$6)</f>
        <v>1085.440840479949</v>
      </c>
      <c r="P41" s="73">
        <f>138000/(E41/((INDEX(profile_C!$D$6:$D$17, MATCH(E41, profile_C!$C$6:$C$17, 0)))*(INDEX(profile_C!$F$6:$F$17, MATCH(E41, profile_C!$C$6:$C$17, 0))))*Input_disp_check!$C$6)</f>
        <v>3048.5454545454545</v>
      </c>
      <c r="Q41" s="74">
        <f t="shared" ref="Q41" si="104">MIN(O41:P41)</f>
        <v>1085.440840479949</v>
      </c>
      <c r="R41" s="73">
        <f>INDEX(profile_C!$I$6:$I$17, MATCH(E41, profile_C!$C$6:$C$17, 0))</f>
        <v>23.835893025565152</v>
      </c>
      <c r="S41" s="73">
        <f t="shared" ref="S41" si="105">(C41)/R41</f>
        <v>125.86060848579721</v>
      </c>
      <c r="T41" s="73">
        <f>(703.3*1000*V41/Input_disp_check!$C$6)^0.5</f>
        <v>50.571281825306201</v>
      </c>
      <c r="U41" s="73">
        <f>(3516*1000*V41/Input_disp_check!$C$6)^0.5</f>
        <v>113.07278428275544</v>
      </c>
      <c r="V41" s="77">
        <v>1</v>
      </c>
      <c r="W41" s="71">
        <f>MIN(0.66*Input_disp_check!$C$6, 0.55*Input_disp_check!$C$7)</f>
        <v>181.5</v>
      </c>
      <c r="X41" s="179"/>
      <c r="Y41" s="179"/>
      <c r="Z41" s="73">
        <f>MIN((82740*V41)/(C41*E41/INDEX(profile_C!$U$6:$U$17, MATCH(E41, profile_C!$C$6:$C$17, 0))), 0.6*Input_disp_check!$C$6)</f>
        <v>165</v>
      </c>
      <c r="AA41" s="71">
        <f t="shared" ref="AA41" si="106">MAX(IF(S41&gt;=T41,IF(S41&lt;=U41,X41,Y41), Z41),Z41)</f>
        <v>165</v>
      </c>
      <c r="AB41" s="74">
        <f t="shared" ref="AB41" si="107">IF(C41&gt;Q41,AA41,W41)</f>
        <v>165</v>
      </c>
      <c r="AC41" s="73">
        <f>(INDEX(Input_disp_check!$P$65:$P$80, MATCH(B41,Input_disp_check!$B$65:$B$80,0)))/INDEX(profile_C!$K$6:$K$17,MATCH(E41, profile_C!$C$6:$C$17, 0))</f>
        <v>21.267433734939754</v>
      </c>
      <c r="AD41" s="75">
        <f>(INDEX(Input_disp_check!$N$65:$N$80, MATCH(B41,Input_disp_check!$B$65:$B$80,0)))/INDEX(profile_C!$K$6:$K$17,MATCH(E41, profile_C!$C$6:$C$17, 0))</f>
        <v>5.3168584337349385</v>
      </c>
      <c r="AE41" s="180">
        <f>0.6*Input_disp_check!$C$6</f>
        <v>165</v>
      </c>
      <c r="AF41" s="79">
        <f>(INDEX(Input_disp_check!$Q$65:$Q$80, MATCH(B41,Input_disp_check!$B$65:$B$80,0)))/INDEX(profile_C!$N$6:$N$17, MATCH(E41, profile_C!$C$6:$C$17, 0))</f>
        <v>59.904875565610858</v>
      </c>
      <c r="AG41" s="80">
        <f>12*PI()^2*Input_disp_check!$C$8/(23*(G41*C41/INDEX(profile_C!$L$6:$L$17, MATCH(E41, profile_C!$C$6:$C$17, 0)))^2)</f>
        <v>193.20514436690419</v>
      </c>
      <c r="AH41" s="81">
        <f>12*PI()^2*Input_disp_check!$C$8/(23*(G41*C41/INDEX(profile_C!$O$6:$O$17, MATCH(E41, profile_C!$C$6:$C$17, 0)))^2)</f>
        <v>21.574440284899541</v>
      </c>
      <c r="AI41" s="82">
        <v>0.85</v>
      </c>
      <c r="AJ41" s="83">
        <f t="shared" ref="AJ41" si="108">(M41/L41)+(AI41*AD41/((1-M41/AG41)*AB41))+(AI41*AF41/((1-M41/AH41)*AE41))</f>
        <v>0.40632125639412819</v>
      </c>
      <c r="AK41" s="83">
        <f>(M41/(0.6*Input_disp_check!$C$6))+(AD41/AB41)+(AF41/AE41)</f>
        <v>0.40220313521889767</v>
      </c>
      <c r="AL41" s="83">
        <f t="shared" ref="AL41" si="109">(M41/L41)+(AD41/AB41)+(AF41/AE41)</f>
        <v>0.44820619967619735</v>
      </c>
      <c r="AM41" s="169">
        <f t="shared" ref="AM41" si="110">IF(M41/L41&lt;=0.15,AL41,MAX(AJ41,AK41))</f>
        <v>0.44820619967619735</v>
      </c>
      <c r="AN41" s="156" t="str">
        <f t="shared" ref="AN41" si="111">IF(AM41&lt;=1,"OK","NG")</f>
        <v>OK</v>
      </c>
      <c r="AO41" s="83">
        <f t="shared" ref="AO41" si="112">(M41/L41)+(AI41*AC41/((1-M41/AG41)*AB41))</f>
        <v>0.16313378267051926</v>
      </c>
      <c r="AP41" s="83">
        <f>(M41/(0.6*Input_disp_check!$C$6))+(AC41/AB41)</f>
        <v>0.13581343664673981</v>
      </c>
      <c r="AQ41" s="83">
        <f t="shared" ref="AQ41" si="113">(M41/L41)+(AC41/AB41)</f>
        <v>0.18181650110403949</v>
      </c>
      <c r="AR41" s="169">
        <f t="shared" ref="AR41" si="114">IF(M41/L41&lt;=0.15,AQ41,MAX(AO41,AP41))</f>
        <v>0.18181650110403949</v>
      </c>
      <c r="AS41" s="157" t="str">
        <f t="shared" ref="AS41" si="115">IF(AR41&lt;=1,"OK","NG")</f>
        <v>OK</v>
      </c>
      <c r="AT41" s="78">
        <f>MIN(0.4*Input_disp_check!$C$6,0.33*Input_disp_check!$C$7)</f>
        <v>110</v>
      </c>
      <c r="AU41" s="86">
        <f>(INDEX(Input_disp_check!$I$65:$I$80, MATCH(B41,Input_disp_check!$B$65:$B$80,0)))/INDEX(profile_C!$T$6:$T$17, MATCH(E41, profile_C!$C$6:$C$17, 0))</f>
        <v>2.7581203124999996</v>
      </c>
      <c r="AV41" s="169">
        <f t="shared" ref="AV41" si="116">AU41/AT41</f>
        <v>2.5073821022727268E-2</v>
      </c>
      <c r="AW41" s="157" t="str">
        <f t="shared" ref="AW41" si="117">IF(AV41&lt;=1,"OK","NG")</f>
        <v>OK</v>
      </c>
      <c r="AX41" s="52"/>
      <c r="AY41" s="10"/>
      <c r="AZ41" s="10"/>
      <c r="BA41" s="10"/>
      <c r="BB41" s="10"/>
      <c r="BC41" s="10"/>
      <c r="BD41" s="10"/>
    </row>
    <row r="42" spans="2:56" s="12" customFormat="1" ht="15" customHeight="1" x14ac:dyDescent="0.15">
      <c r="B42" s="96">
        <v>2</v>
      </c>
      <c r="C42" s="87">
        <f>(INDEX(Input_disp_check!$C$65:$C$80, MATCH(B42,Input_disp_check!$B$65:$B$80,0)))</f>
        <v>2500</v>
      </c>
      <c r="D42" s="132" t="str">
        <f>(INDEX(Input_disp_check!$D$65:$D$80, MATCH(B42,Input_disp_check!$B$65:$B$80,0)))</f>
        <v>C -</v>
      </c>
      <c r="E42" s="133">
        <f>(INDEX(Input_disp_check!$E$65:$E$80, MATCH(B42,Input_disp_check!$B$65:$B$80,0)))</f>
        <v>200</v>
      </c>
      <c r="F42" s="72">
        <f>SQRT(2*PI()^2*Input_disp_check!$C$8/Input_disp_check!$C$6)</f>
        <v>122.77449910610369</v>
      </c>
      <c r="G42" s="136">
        <v>2</v>
      </c>
      <c r="H42" s="73">
        <f>G42*C42/(INDEX(profile_C!$O$6:$O$17, MATCH(E42, profile_C!$C$6:$C$17, 0)))</f>
        <v>186.56716417910448</v>
      </c>
      <c r="I42" s="73" t="str">
        <f>IF(H42&gt;200, "N.G","OK")</f>
        <v>OK</v>
      </c>
      <c r="J42" s="73">
        <f>12*PI()^2*Input_disp_check!$C$8/(23*H42^2)</f>
        <v>31.067194010255335</v>
      </c>
      <c r="K42" s="73">
        <f>(1-H42^2/(2*F42^2))*Input_disp_check!$C$6 / ((5/3) + (3*H42/(8*F42))-(H42^3/(8*F42^3)))</f>
        <v>-23.644113428358864</v>
      </c>
      <c r="L42" s="74">
        <f t="shared" ref="L42:L43" si="118">IF(H42&lt;F42,K42,J42)</f>
        <v>31.067194010255335</v>
      </c>
      <c r="M42" s="75">
        <f>(INDEX(Input_disp_check!$I$65:$I$80, MATCH(B42,Input_disp_check!$B$65:$B$80,0)))/(INDEX(profile_C!$H$6:$H$17, MATCH(E42, profile_C!$C$6:$C$17, 0)))</f>
        <v>1.7761073738680464</v>
      </c>
      <c r="N42" s="76" t="str">
        <f>IF(M42/Input_disp_check!$C$6&lt;=0.16,"OK","Warning")</f>
        <v>OK</v>
      </c>
      <c r="O42" s="73">
        <f>200*(INDEX(profile_C!$D$6:$D$17, MATCH(E42, profile_C!$C$6:$C$17, 0)))/SQRT(Input_disp_check!$C$6)</f>
        <v>1085.440840479949</v>
      </c>
      <c r="P42" s="73">
        <f>138000/(E42/((INDEX(profile_C!$D$6:$D$17, MATCH(E42, profile_C!$C$6:$C$17, 0)))*(INDEX(profile_C!$F$6:$F$17, MATCH(E42, profile_C!$C$6:$C$17, 0))))*Input_disp_check!$C$6)</f>
        <v>3048.5454545454545</v>
      </c>
      <c r="Q42" s="74">
        <f t="shared" ref="Q42:Q43" si="119">MIN(O42:P42)</f>
        <v>1085.440840479949</v>
      </c>
      <c r="R42" s="73">
        <f>INDEX(profile_C!$I$6:$I$17, MATCH(E42, profile_C!$C$6:$C$17, 0))</f>
        <v>23.835893025565152</v>
      </c>
      <c r="S42" s="73">
        <f t="shared" ref="S42:S43" si="120">(C42)/R42</f>
        <v>104.88384040483101</v>
      </c>
      <c r="T42" s="73">
        <f>(703.3*1000*V42/Input_disp_check!$C$6)^0.5</f>
        <v>50.571281825306201</v>
      </c>
      <c r="U42" s="73">
        <f>(3516*1000*V42/Input_disp_check!$C$6)^0.5</f>
        <v>113.07278428275544</v>
      </c>
      <c r="V42" s="77">
        <v>1</v>
      </c>
      <c r="W42" s="71">
        <f>MIN(0.66*Input_disp_check!$C$6, 0.55*Input_disp_check!$C$7)</f>
        <v>181.5</v>
      </c>
      <c r="X42" s="179"/>
      <c r="Y42" s="179"/>
      <c r="Z42" s="73">
        <f>MIN((82740*V42)/(C42*E42/INDEX(profile_C!$U$6:$U$17, MATCH(E42, profile_C!$C$6:$C$17, 0))), 0.6*Input_disp_check!$C$6)</f>
        <v>165</v>
      </c>
      <c r="AA42" s="71">
        <f t="shared" ref="AA42:AA43" si="121">MAX(IF(S42&gt;=T42,IF(S42&lt;=U42,X42,Y42), Z42),Z42)</f>
        <v>165</v>
      </c>
      <c r="AB42" s="74">
        <f t="shared" ref="AB42:AB43" si="122">IF(C42&gt;Q42,AA42,W42)</f>
        <v>165</v>
      </c>
      <c r="AC42" s="73">
        <f>(INDEX(Input_disp_check!$P$65:$P$80, MATCH(B42,Input_disp_check!$B$65:$B$80,0)))/INDEX(profile_C!$K$6:$K$17,MATCH(E42, profile_C!$C$6:$C$17, 0))</f>
        <v>28.947340361445782</v>
      </c>
      <c r="AD42" s="75">
        <f>(INDEX(Input_disp_check!$N$65:$N$80, MATCH(B42,Input_disp_check!$B$65:$B$80,0)))/INDEX(profile_C!$K$6:$K$17,MATCH(E42, profile_C!$C$6:$C$17, 0))</f>
        <v>8.2706686746987952</v>
      </c>
      <c r="AE42" s="180">
        <f>0.6*Input_disp_check!$C$6</f>
        <v>165</v>
      </c>
      <c r="AF42" s="79">
        <f>(INDEX(Input_disp_check!$Q$65:$Q$80, MATCH(B42,Input_disp_check!$B$65:$B$80,0)))/INDEX(profile_C!$N$6:$N$17, MATCH(E42, profile_C!$C$6:$C$17, 0))</f>
        <v>77.654468325791839</v>
      </c>
      <c r="AG42" s="80">
        <f>12*PI()^2*Input_disp_check!$C$8/(23*(G42*C42/INDEX(profile_C!$L$6:$L$17, MATCH(E42, profile_C!$C$6:$C$17, 0)))^2)</f>
        <v>278.21540788834199</v>
      </c>
      <c r="AH42" s="81">
        <f>12*PI()^2*Input_disp_check!$C$8/(23*(G42*C42/INDEX(profile_C!$O$6:$O$17, MATCH(E42, profile_C!$C$6:$C$17, 0)))^2)</f>
        <v>31.067194010255335</v>
      </c>
      <c r="AI42" s="82">
        <v>0.85</v>
      </c>
      <c r="AJ42" s="83">
        <f t="shared" ref="AJ42:AJ43" si="123">(M42/L42)+(AI42*AD42/((1-M42/AG42)*AB42))+(AI42*AF42/((1-M42/AH42)*AE42))</f>
        <v>0.52434514984409508</v>
      </c>
      <c r="AK42" s="83">
        <f>(M42/(0.6*Input_disp_check!$C$6))+(AD42/AB42)+(AF42/AE42)</f>
        <v>0.53152269317793133</v>
      </c>
      <c r="AL42" s="83">
        <f t="shared" ref="AL42:AL43" si="124">(M42/L42)+(AD42/AB42)+(AF42/AE42)</f>
        <v>0.57792827384377721</v>
      </c>
      <c r="AM42" s="169">
        <f t="shared" ref="AM42:AM43" si="125">IF(M42/L42&lt;=0.15,AL42,MAX(AJ42,AK42))</f>
        <v>0.57792827384377721</v>
      </c>
      <c r="AN42" s="156" t="str">
        <f t="shared" ref="AN42:AN43" si="126">IF(AM42&lt;=1,"OK","NG")</f>
        <v>OK</v>
      </c>
      <c r="AO42" s="83">
        <f t="shared" ref="AO42:AO43" si="127">(M42/L42)+(AI42*AC42/((1-M42/AG42)*AB42))</f>
        <v>0.2072506351918231</v>
      </c>
      <c r="AP42" s="83">
        <f>(M42/(0.6*Input_disp_check!$C$6))+(AC42/AB42)</f>
        <v>0.18620271354735654</v>
      </c>
      <c r="AQ42" s="83">
        <f t="shared" ref="AQ42:AQ43" si="128">(M42/L42)+(AC42/AB42)</f>
        <v>0.23260829421320242</v>
      </c>
      <c r="AR42" s="169">
        <f t="shared" ref="AR42:AR43" si="129">IF(M42/L42&lt;=0.15,AQ42,MAX(AO42,AP42))</f>
        <v>0.23260829421320242</v>
      </c>
      <c r="AS42" s="157" t="str">
        <f t="shared" ref="AS42:AS43" si="130">IF(AR42&lt;=1,"OK","NG")</f>
        <v>OK</v>
      </c>
      <c r="AT42" s="78">
        <f>MIN(0.4*Input_disp_check!$C$6,0.33*Input_disp_check!$C$7)</f>
        <v>110</v>
      </c>
      <c r="AU42" s="86">
        <f>(INDEX(Input_disp_check!$I$65:$I$80, MATCH(B42,Input_disp_check!$B$65:$B$80,0)))/INDEX(profile_C!$T$6:$T$17, MATCH(E42, profile_C!$C$6:$C$17, 0))</f>
        <v>4.2904093749999994</v>
      </c>
      <c r="AV42" s="169">
        <f t="shared" ref="AV42:AV43" si="131">AU42/AT42</f>
        <v>3.9003721590909084E-2</v>
      </c>
      <c r="AW42" s="157" t="str">
        <f t="shared" ref="AW42:AW43" si="132">IF(AV42&lt;=1,"OK","NG")</f>
        <v>OK</v>
      </c>
      <c r="AX42" s="52"/>
      <c r="AY42" s="10"/>
      <c r="AZ42" s="10"/>
      <c r="BA42" s="10"/>
      <c r="BB42" s="10"/>
      <c r="BC42" s="10"/>
      <c r="BD42" s="10"/>
    </row>
    <row r="43" spans="2:56" s="12" customFormat="1" ht="15" customHeight="1" x14ac:dyDescent="0.15">
      <c r="B43" s="96">
        <v>3</v>
      </c>
      <c r="C43" s="87">
        <f>(INDEX(Input_disp_check!$C$65:$C$80, MATCH(B43,Input_disp_check!$B$65:$B$80,0)))</f>
        <v>2100</v>
      </c>
      <c r="D43" s="132" t="str">
        <f>(INDEX(Input_disp_check!$D$65:$D$80, MATCH(B43,Input_disp_check!$B$65:$B$80,0)))</f>
        <v>C -</v>
      </c>
      <c r="E43" s="133">
        <f>(INDEX(Input_disp_check!$E$65:$E$80, MATCH(B43,Input_disp_check!$B$65:$B$80,0)))</f>
        <v>150</v>
      </c>
      <c r="F43" s="72">
        <f>SQRT(2*PI()^2*Input_disp_check!$C$8/Input_disp_check!$C$6)</f>
        <v>122.77449910610369</v>
      </c>
      <c r="G43" s="136">
        <v>2</v>
      </c>
      <c r="H43" s="73">
        <f>G43*C43/(INDEX(profile_C!$O$6:$O$17, MATCH(E43, profile_C!$C$6:$C$17, 0)))</f>
        <v>189.18918918918919</v>
      </c>
      <c r="I43" s="73" t="str">
        <f>IF(H43&gt;200, "N.G","OK")</f>
        <v>OK</v>
      </c>
      <c r="J43" s="73">
        <f>12*PI()^2*Input_disp_check!$C$8/(23*H43^2)</f>
        <v>30.212023807657634</v>
      </c>
      <c r="K43" s="73">
        <f>(1-H43^2/(2*F43^2))*Input_disp_check!$C$6 / ((5/3) + (3*H43/(8*F43))-(H43^3/(8*F43^3)))</f>
        <v>-28.815142137942978</v>
      </c>
      <c r="L43" s="74">
        <f t="shared" si="118"/>
        <v>30.212023807657634</v>
      </c>
      <c r="M43" s="75">
        <f>(INDEX(Input_disp_check!$I$65:$I$80, MATCH(B43,Input_disp_check!$B$65:$B$80,0)))/(INDEX(profile_C!$H$6:$H$17, MATCH(E43, profile_C!$C$6:$C$17, 0)))</f>
        <v>1.6544327288064107</v>
      </c>
      <c r="N43" s="76" t="str">
        <f>IF(M43/Input_disp_check!$C$6&lt;=0.16,"OK","Warning")</f>
        <v>OK</v>
      </c>
      <c r="O43" s="73">
        <f>200*(INDEX(profile_C!$D$6:$D$17, MATCH(E43, profile_C!$C$6:$C$17, 0)))/SQRT(Input_disp_check!$C$6)</f>
        <v>904.53403373329081</v>
      </c>
      <c r="P43" s="73">
        <f>138000/(E43/((INDEX(profile_C!$D$6:$D$17, MATCH(E43, profile_C!$C$6:$C$17, 0)))*(INDEX(profile_C!$F$6:$F$17, MATCH(E43, profile_C!$C$6:$C$17, 0))))*Input_disp_check!$C$6)</f>
        <v>2509.090909090909</v>
      </c>
      <c r="Q43" s="74">
        <f t="shared" si="119"/>
        <v>904.53403373329081</v>
      </c>
      <c r="R43" s="73">
        <f>INDEX(profile_C!$I$6:$I$17, MATCH(E43, profile_C!$C$6:$C$17, 0))</f>
        <v>19.879666547330533</v>
      </c>
      <c r="S43" s="73">
        <f t="shared" si="120"/>
        <v>105.63557467124572</v>
      </c>
      <c r="T43" s="73">
        <f>(703.3*1000*V43/Input_disp_check!$C$6)^0.5</f>
        <v>50.571281825306201</v>
      </c>
      <c r="U43" s="73">
        <f>(3516*1000*V43/Input_disp_check!$C$6)^0.5</f>
        <v>113.07278428275544</v>
      </c>
      <c r="V43" s="77">
        <v>1</v>
      </c>
      <c r="W43" s="71">
        <f>MIN(0.66*Input_disp_check!$C$6, 0.55*Input_disp_check!$C$7)</f>
        <v>181.5</v>
      </c>
      <c r="X43" s="179"/>
      <c r="Y43" s="179"/>
      <c r="Z43" s="73">
        <f>MIN((82740*V43)/(C43*E43/INDEX(profile_C!$U$6:$U$17, MATCH(E43, profile_C!$C$6:$C$17, 0))), 0.6*Input_disp_check!$C$6)</f>
        <v>165</v>
      </c>
      <c r="AA43" s="71">
        <f t="shared" si="121"/>
        <v>165</v>
      </c>
      <c r="AB43" s="74">
        <f t="shared" si="122"/>
        <v>165</v>
      </c>
      <c r="AC43" s="73">
        <f>(INDEX(Input_disp_check!$P$65:$P$80, MATCH(B43,Input_disp_check!$B$65:$B$80,0)))/INDEX(profile_C!$K$6:$K$17,MATCH(E43, profile_C!$C$6:$C$17, 0))</f>
        <v>31.722380869565217</v>
      </c>
      <c r="AD43" s="75">
        <f>(INDEX(Input_disp_check!$N$65:$N$80, MATCH(B43,Input_disp_check!$B$65:$B$80,0)))/INDEX(profile_C!$K$6:$K$17,MATCH(E43, profile_C!$C$6:$C$17, 0))</f>
        <v>10.233026086956523</v>
      </c>
      <c r="AE43" s="180">
        <f>0.6*Input_disp_check!$C$6</f>
        <v>165</v>
      </c>
      <c r="AF43" s="79">
        <f>(INDEX(Input_disp_check!$Q$65:$Q$80, MATCH(B43,Input_disp_check!$B$65:$B$80,0)))/INDEX(profile_C!$N$6:$N$17, MATCH(E43, profile_C!$C$6:$C$17, 0))</f>
        <v>73.549875</v>
      </c>
      <c r="AG43" s="80">
        <f>12*PI()^2*Input_disp_check!$C$8/(23*(G43*C43/INDEX(profile_C!$L$6:$L$17, MATCH(E43, profile_C!$C$6:$C$17, 0)))^2)</f>
        <v>222.89919171898757</v>
      </c>
      <c r="AH43" s="81">
        <f>12*PI()^2*Input_disp_check!$C$8/(23*(G43*C43/INDEX(profile_C!$O$6:$O$17, MATCH(E43, profile_C!$C$6:$C$17, 0)))^2)</f>
        <v>30.212023807657634</v>
      </c>
      <c r="AI43" s="82">
        <v>0.85</v>
      </c>
      <c r="AJ43" s="83">
        <f t="shared" si="123"/>
        <v>0.50871432367189473</v>
      </c>
      <c r="AK43" s="83">
        <f>(M43/(0.6*Input_disp_check!$C$6))+(AD43/AB43)+(AF43/AE43)</f>
        <v>0.51780202312583601</v>
      </c>
      <c r="AL43" s="83">
        <f t="shared" si="124"/>
        <v>0.56253589638826595</v>
      </c>
      <c r="AM43" s="169">
        <f t="shared" si="125"/>
        <v>0.56253589638826595</v>
      </c>
      <c r="AN43" s="156" t="str">
        <f t="shared" si="126"/>
        <v>OK</v>
      </c>
      <c r="AO43" s="83">
        <f t="shared" si="127"/>
        <v>0.2194010799370123</v>
      </c>
      <c r="AP43" s="83">
        <f>(M43/(0.6*Input_disp_check!$C$6))+(AC43/AB43)</f>
        <v>0.20228371877800985</v>
      </c>
      <c r="AQ43" s="83">
        <f t="shared" si="128"/>
        <v>0.24701759204043988</v>
      </c>
      <c r="AR43" s="169">
        <f t="shared" si="129"/>
        <v>0.24701759204043988</v>
      </c>
      <c r="AS43" s="157" t="str">
        <f t="shared" si="130"/>
        <v>OK</v>
      </c>
      <c r="AT43" s="78">
        <f>MIN(0.4*Input_disp_check!$C$6,0.33*Input_disp_check!$C$7)</f>
        <v>110</v>
      </c>
      <c r="AU43" s="86">
        <f>(INDEX(Input_disp_check!$I$65:$I$80, MATCH(B43,Input_disp_check!$B$65:$B$80,0)))/INDEX(profile_C!$T$6:$T$17, MATCH(E43, profile_C!$C$6:$C$17, 0))</f>
        <v>4.0232410256410258</v>
      </c>
      <c r="AV43" s="169">
        <f t="shared" si="131"/>
        <v>3.6574918414918417E-2</v>
      </c>
      <c r="AW43" s="157" t="str">
        <f t="shared" si="132"/>
        <v>OK</v>
      </c>
      <c r="AX43" s="52"/>
      <c r="AY43" s="10"/>
      <c r="AZ43" s="10"/>
      <c r="BA43" s="10"/>
      <c r="BB43" s="10"/>
      <c r="BC43" s="10"/>
      <c r="BD43" s="10"/>
    </row>
    <row r="44" spans="2:56" s="12" customFormat="1" ht="15" customHeight="1" x14ac:dyDescent="0.15">
      <c r="B44" s="96">
        <v>4</v>
      </c>
      <c r="C44" s="87">
        <f>(INDEX(Input_disp_check!$C$65:$C$80, MATCH(B44,Input_disp_check!$B$65:$B$80,0)))</f>
        <v>1900</v>
      </c>
      <c r="D44" s="132" t="str">
        <f>(INDEX(Input_disp_check!$D$65:$D$80, MATCH(B44,Input_disp_check!$B$65:$B$80,0)))</f>
        <v>C -</v>
      </c>
      <c r="E44" s="133">
        <f>(INDEX(Input_disp_check!$E$65:$E$80, MATCH(B44,Input_disp_check!$B$65:$B$80,0)))</f>
        <v>125</v>
      </c>
      <c r="F44" s="72">
        <f>SQRT(2*PI()^2*Input_disp_check!$C$8/Input_disp_check!$C$6)</f>
        <v>122.77449910610369</v>
      </c>
      <c r="G44" s="136">
        <v>2</v>
      </c>
      <c r="H44" s="73">
        <f>G44*C44/(INDEX(profile_C!$O$6:$O$17, MATCH(E44, profile_C!$C$6:$C$17, 0)))</f>
        <v>200</v>
      </c>
      <c r="I44" s="191" t="str">
        <f t="shared" ref="I44:I53" si="133">IF(H44&gt;200, "N.G","OK")</f>
        <v>OK</v>
      </c>
      <c r="J44" s="73">
        <f>12*PI()^2*Input_disp_check!$C$8/(23*H44^2)</f>
        <v>27.034133794288241</v>
      </c>
      <c r="K44" s="73">
        <f>(1-H44^2/(2*F44^2))*Input_disp_check!$C$6 / ((5/3) + (3*H44/(8*F44))-(H44^3/(8*F44^3)))</f>
        <v>-51.736864007666405</v>
      </c>
      <c r="L44" s="74">
        <f t="shared" ref="L44:L50" si="134">IF(H44&lt;F44,K44,J44)</f>
        <v>27.034133794288241</v>
      </c>
      <c r="M44" s="75">
        <f>(INDEX(Input_disp_check!$I$65:$I$80, MATCH(B44,Input_disp_check!$B$65:$B$80,0)))/(INDEX(profile_C!$H$6:$H$17, MATCH(E44, profile_C!$C$6:$C$17, 0)))</f>
        <v>1.4328828170660433</v>
      </c>
      <c r="N44" s="76" t="str">
        <f>IF(M44/Input_disp_check!$C$6&lt;=0.16,"OK","Warning")</f>
        <v>OK</v>
      </c>
      <c r="O44" s="73">
        <f>200*(INDEX(profile_C!$D$6:$D$17, MATCH(E44, profile_C!$C$6:$C$17, 0)))/SQRT(Input_disp_check!$C$6)</f>
        <v>783.92949590218529</v>
      </c>
      <c r="P44" s="73">
        <f>138000/(E44/((INDEX(profile_C!$D$6:$D$17, MATCH(E44, profile_C!$C$6:$C$17, 0)))*(INDEX(profile_C!$F$6:$F$17, MATCH(E44, profile_C!$C$6:$C$17, 0))))*Input_disp_check!$C$6)</f>
        <v>2087.5636363636363</v>
      </c>
      <c r="Q44" s="74">
        <f t="shared" ref="Q44:Q50" si="135">MIN(O44:P44)</f>
        <v>783.92949590218529</v>
      </c>
      <c r="R44" s="73">
        <f>INDEX(profile_C!$I$6:$I$17, MATCH(E44, profile_C!$C$6:$C$17, 0))</f>
        <v>17.076016955395168</v>
      </c>
      <c r="S44" s="73">
        <f t="shared" ref="S44:S50" si="136">(C44)/R44</f>
        <v>111.26716522729235</v>
      </c>
      <c r="T44" s="73">
        <f>(703.3*1000*V44/Input_disp_check!$C$6)^0.5</f>
        <v>50.571281825306201</v>
      </c>
      <c r="U44" s="73">
        <f>(3516*1000*V44/Input_disp_check!$C$6)^0.5</f>
        <v>113.07278428275544</v>
      </c>
      <c r="V44" s="77">
        <v>1</v>
      </c>
      <c r="W44" s="71">
        <f>MIN(0.66*Input_disp_check!$C$6, 0.55*Input_disp_check!$C$7)</f>
        <v>181.5</v>
      </c>
      <c r="X44" s="179"/>
      <c r="Y44" s="179"/>
      <c r="Z44" s="73">
        <f>MIN((82740*V44)/(C44*E44/INDEX(profile_C!$U$6:$U$17, MATCH(E44, profile_C!$C$6:$C$17, 0))), 0.6*Input_disp_check!$C$6)</f>
        <v>165</v>
      </c>
      <c r="AA44" s="71">
        <f t="shared" ref="AA44:AA50" si="137">MAX(IF(S44&gt;=T44,IF(S44&lt;=U44,X44,Y44), Z44),Z44)</f>
        <v>165</v>
      </c>
      <c r="AB44" s="74">
        <f t="shared" ref="AB44:AB50" si="138">IF(C44&gt;Q44,AA44,W44)</f>
        <v>165</v>
      </c>
      <c r="AC44" s="73">
        <f>(INDEX(Input_disp_check!$P$65:$P$80, MATCH(B44,Input_disp_check!$B$65:$B$80,0)))/INDEX(profile_C!$K$6:$K$17,MATCH(E44, profile_C!$C$6:$C$17, 0))</f>
        <v>31.459386061946901</v>
      </c>
      <c r="AD44" s="75">
        <f>(INDEX(Input_disp_check!$N$65:$N$80, MATCH(B44,Input_disp_check!$B$65:$B$80,0)))/INDEX(profile_C!$K$6:$K$17,MATCH(E44, profile_C!$C$6:$C$17, 0))</f>
        <v>10.848064159292035</v>
      </c>
      <c r="AE44" s="180">
        <f>0.6*Input_disp_check!$C$6</f>
        <v>165</v>
      </c>
      <c r="AF44" s="79">
        <f>(INDEX(Input_disp_check!$Q$65:$Q$80, MATCH(B44,Input_disp_check!$B$65:$B$80,0)))/INDEX(profile_C!$N$6:$N$17, MATCH(E44, profile_C!$C$6:$C$17, 0))</f>
        <v>69.524757462686566</v>
      </c>
      <c r="AG44" s="80">
        <f>12*PI()^2*Input_disp_check!$C$8/(23*(G44*C44/INDEX(profile_C!$L$6:$L$17, MATCH(E44, profile_C!$C$6:$C$17, 0)))^2)</f>
        <v>185.72225256284375</v>
      </c>
      <c r="AH44" s="81">
        <f>12*PI()^2*Input_disp_check!$C$8/(23*(G44*C44/INDEX(profile_C!$O$6:$O$17, MATCH(E44, profile_C!$C$6:$C$17, 0)))^2)</f>
        <v>27.034133794288241</v>
      </c>
      <c r="AI44" s="82">
        <v>0.85</v>
      </c>
      <c r="AJ44" s="83">
        <f t="shared" ref="AJ44:AJ50" si="139">(M44/L44)+(AI44*AD44/((1-M44/AG44)*AB44))+(AI44*AF44/((1-M44/AH44)*AE44))</f>
        <v>0.48752486911916526</v>
      </c>
      <c r="AK44" s="83">
        <f>(M44/(0.6*Input_disp_check!$C$6))+(AD44/AB44)+(AF44/AE44)</f>
        <v>0.4957921481154221</v>
      </c>
      <c r="AL44" s="83">
        <f t="shared" ref="AL44:AL50" si="140">(M44/L44)+(AD44/AB44)+(AF44/AE44)</f>
        <v>0.54011073697391421</v>
      </c>
      <c r="AM44" s="169">
        <f t="shared" ref="AM44:AM50" si="141">IF(M44/L44&lt;=0.15,AL44,MAX(AJ44,AK44))</f>
        <v>0.54011073697391421</v>
      </c>
      <c r="AN44" s="156" t="str">
        <f t="shared" ref="AN44:AN50" si="142">IF(AM44&lt;=1,"OK","NG")</f>
        <v>OK</v>
      </c>
      <c r="AO44" s="83">
        <f t="shared" ref="AO44:AO50" si="143">(M44/L44)+(AI44*AC44/((1-M44/AG44)*AB44))</f>
        <v>0.21632630383381432</v>
      </c>
      <c r="AP44" s="83">
        <f>(M44/(0.6*Input_disp_check!$C$6))+(AC44/AB44)</f>
        <v>0.19934708411522997</v>
      </c>
      <c r="AQ44" s="83">
        <f t="shared" ref="AQ44:AQ50" si="144">(M44/L44)+(AC44/AB44)</f>
        <v>0.24366567297372208</v>
      </c>
      <c r="AR44" s="169">
        <f t="shared" ref="AR44:AR50" si="145">IF(M44/L44&lt;=0.15,AQ44,MAX(AO44,AP44))</f>
        <v>0.24366567297372208</v>
      </c>
      <c r="AS44" s="157" t="str">
        <f t="shared" ref="AS44:AS50" si="146">IF(AR44&lt;=1,"OK","NG")</f>
        <v>OK</v>
      </c>
      <c r="AT44" s="78">
        <f>MIN(0.4*Input_disp_check!$C$6,0.33*Input_disp_check!$C$7)</f>
        <v>110</v>
      </c>
      <c r="AU44" s="86">
        <f>(INDEX(Input_disp_check!$I$65:$I$80, MATCH(B44,Input_disp_check!$B$65:$B$80,0)))/INDEX(profile_C!$T$6:$T$17, MATCH(E44, profile_C!$C$6:$C$17, 0))</f>
        <v>3.2688833333333331</v>
      </c>
      <c r="AV44" s="169">
        <f t="shared" ref="AV44:AV50" si="147">AU44/AT44</f>
        <v>2.9717121212121212E-2</v>
      </c>
      <c r="AW44" s="157" t="str">
        <f t="shared" ref="AW44:AW50" si="148">IF(AV44&lt;=1,"OK","NG")</f>
        <v>OK</v>
      </c>
      <c r="AX44" s="52"/>
      <c r="AY44" s="10"/>
      <c r="AZ44" s="10"/>
      <c r="BA44" s="10"/>
      <c r="BB44" s="10"/>
      <c r="BC44" s="10"/>
      <c r="BD44" s="10"/>
    </row>
    <row r="45" spans="2:56" s="12" customFormat="1" ht="15" customHeight="1" x14ac:dyDescent="0.15">
      <c r="B45" s="96">
        <v>5</v>
      </c>
      <c r="C45" s="87">
        <f>(INDEX(Input_disp_check!$C$65:$C$80, MATCH(B45,Input_disp_check!$B$65:$B$80,0)))</f>
        <v>1500</v>
      </c>
      <c r="D45" s="132" t="str">
        <f>(INDEX(Input_disp_check!$D$65:$D$80, MATCH(B45,Input_disp_check!$B$65:$B$80,0)))</f>
        <v>C -</v>
      </c>
      <c r="E45" s="133">
        <f>(INDEX(Input_disp_check!$E$65:$E$80, MATCH(B45,Input_disp_check!$B$65:$B$80,0)))</f>
        <v>150</v>
      </c>
      <c r="F45" s="72">
        <f>SQRT(2*PI()^2*Input_disp_check!$C$8/Input_disp_check!$C$6)</f>
        <v>122.77449910610369</v>
      </c>
      <c r="G45" s="136">
        <v>2</v>
      </c>
      <c r="H45" s="73">
        <f>G45*C45/(INDEX(profile_C!$O$6:$O$17, MATCH(E45, profile_C!$C$6:$C$17, 0)))</f>
        <v>135.13513513513513</v>
      </c>
      <c r="I45" s="73" t="str">
        <f t="shared" si="133"/>
        <v>OK</v>
      </c>
      <c r="J45" s="73">
        <f>12*PI()^2*Input_disp_check!$C$8/(23*H45^2)</f>
        <v>59.215566663008964</v>
      </c>
      <c r="K45" s="73">
        <f>(1-H45^2/(2*F45^2))*Input_disp_check!$C$6 / ((5/3) + (3*H45/(8*F45))-(H45^3/(8*F45^3)))</f>
        <v>56.683126787915228</v>
      </c>
      <c r="L45" s="74">
        <f t="shared" si="134"/>
        <v>59.215566663008964</v>
      </c>
      <c r="M45" s="75">
        <f>(INDEX(Input_disp_check!$I$65:$I$80, MATCH(B45,Input_disp_check!$B$65:$B$80,0)))/(INDEX(profile_C!$H$6:$H$17, MATCH(E45, profile_C!$C$6:$C$17, 0)))</f>
        <v>2.6884531843104171</v>
      </c>
      <c r="N45" s="76" t="str">
        <f>IF(M45/Input_disp_check!$C$6&lt;=0.16,"OK","Warning")</f>
        <v>OK</v>
      </c>
      <c r="O45" s="73">
        <f>200*(INDEX(profile_C!$D$6:$D$17, MATCH(E45, profile_C!$C$6:$C$17, 0)))/SQRT(Input_disp_check!$C$6)</f>
        <v>904.53403373329081</v>
      </c>
      <c r="P45" s="73">
        <f>138000/(E45/((INDEX(profile_C!$D$6:$D$17, MATCH(E45, profile_C!$C$6:$C$17, 0)))*(INDEX(profile_C!$F$6:$F$17, MATCH(E45, profile_C!$C$6:$C$17, 0))))*Input_disp_check!$C$6)</f>
        <v>2509.090909090909</v>
      </c>
      <c r="Q45" s="74">
        <f t="shared" si="135"/>
        <v>904.53403373329081</v>
      </c>
      <c r="R45" s="73">
        <f>INDEX(profile_C!$I$6:$I$17, MATCH(E45, profile_C!$C$6:$C$17, 0))</f>
        <v>19.879666547330533</v>
      </c>
      <c r="S45" s="73">
        <f t="shared" si="136"/>
        <v>75.453981908032659</v>
      </c>
      <c r="T45" s="73">
        <f>(703.3*1000*V45/Input_disp_check!$C$6)^0.5</f>
        <v>50.571281825306201</v>
      </c>
      <c r="U45" s="73">
        <f>(3516*1000*V45/Input_disp_check!$C$6)^0.5</f>
        <v>113.07278428275544</v>
      </c>
      <c r="V45" s="77">
        <v>1</v>
      </c>
      <c r="W45" s="71">
        <f>MIN(0.66*Input_disp_check!$C$6, 0.55*Input_disp_check!$C$7)</f>
        <v>181.5</v>
      </c>
      <c r="X45" s="179"/>
      <c r="Y45" s="179"/>
      <c r="Z45" s="73">
        <f>MIN((82740*V45)/(C45*E45/INDEX(profile_C!$U$6:$U$17, MATCH(E45, profile_C!$C$6:$C$17, 0))), 0.6*Input_disp_check!$C$6)</f>
        <v>165</v>
      </c>
      <c r="AA45" s="71">
        <f t="shared" si="137"/>
        <v>165</v>
      </c>
      <c r="AB45" s="74">
        <f t="shared" si="138"/>
        <v>165</v>
      </c>
      <c r="AC45" s="73">
        <f>(INDEX(Input_disp_check!$P$65:$P$80, MATCH(B45,Input_disp_check!$B$65:$B$80,0)))/INDEX(profile_C!$K$6:$K$17,MATCH(E45, profile_C!$C$6:$C$17, 0))</f>
        <v>41.571668478260868</v>
      </c>
      <c r="AD45" s="75">
        <f>(INDEX(Input_disp_check!$N$65:$N$80, MATCH(B45,Input_disp_check!$B$65:$B$80,0)))/INDEX(profile_C!$K$6:$K$17,MATCH(E45, profile_C!$C$6:$C$17, 0))</f>
        <v>16.628667391304347</v>
      </c>
      <c r="AE45" s="180">
        <f>0.6*Input_disp_check!$C$6</f>
        <v>165</v>
      </c>
      <c r="AF45" s="79">
        <f>(INDEX(Input_disp_check!$Q$65:$Q$80, MATCH(B45,Input_disp_check!$B$65:$B$80,0)))/INDEX(profile_C!$N$6:$N$17, MATCH(E45, profile_C!$C$6:$C$17, 0))</f>
        <v>85.370390624999985</v>
      </c>
      <c r="AG45" s="80">
        <f>12*PI()^2*Input_disp_check!$C$8/(23*(G45*C45/INDEX(profile_C!$L$6:$L$17, MATCH(E45, profile_C!$C$6:$C$17, 0)))^2)</f>
        <v>436.88241576921558</v>
      </c>
      <c r="AH45" s="81">
        <f>12*PI()^2*Input_disp_check!$C$8/(23*(G45*C45/INDEX(profile_C!$O$6:$O$17, MATCH(E45, profile_C!$C$6:$C$17, 0)))^2)</f>
        <v>59.215566663008964</v>
      </c>
      <c r="AI45" s="82">
        <v>0.85</v>
      </c>
      <c r="AJ45" s="83">
        <f t="shared" si="139"/>
        <v>0.5922976716423336</v>
      </c>
      <c r="AK45" s="83">
        <f>(M45/(0.6*Input_disp_check!$C$6))+(AD45/AB45)+(AF45/AE45)</f>
        <v>0.63446976485221063</v>
      </c>
      <c r="AL45" s="83">
        <f t="shared" si="140"/>
        <v>0.66357723149275194</v>
      </c>
      <c r="AM45" s="169">
        <f t="shared" si="141"/>
        <v>0.66357723149275194</v>
      </c>
      <c r="AN45" s="156" t="str">
        <f t="shared" si="142"/>
        <v>OK</v>
      </c>
      <c r="AO45" s="83">
        <f t="shared" si="143"/>
        <v>0.2608842255796055</v>
      </c>
      <c r="AP45" s="83">
        <f>(M45/(0.6*Input_disp_check!$C$6))+(AC45/AB45)</f>
        <v>0.26824316159134109</v>
      </c>
      <c r="AQ45" s="83">
        <f t="shared" si="144"/>
        <v>0.29735062823188241</v>
      </c>
      <c r="AR45" s="169">
        <f t="shared" si="145"/>
        <v>0.29735062823188241</v>
      </c>
      <c r="AS45" s="157" t="str">
        <f t="shared" si="146"/>
        <v>OK</v>
      </c>
      <c r="AT45" s="78">
        <f>MIN(0.4*Input_disp_check!$C$6,0.33*Input_disp_check!$C$7)</f>
        <v>110</v>
      </c>
      <c r="AU45" s="86">
        <f>(INDEX(Input_disp_check!$I$65:$I$80, MATCH(B45,Input_disp_check!$B$65:$B$80,0)))/INDEX(profile_C!$T$6:$T$17, MATCH(E45, profile_C!$C$6:$C$17, 0))</f>
        <v>6.5377666666666663</v>
      </c>
      <c r="AV45" s="169">
        <f t="shared" si="147"/>
        <v>5.9434242424242424E-2</v>
      </c>
      <c r="AW45" s="157" t="str">
        <f t="shared" si="148"/>
        <v>OK</v>
      </c>
      <c r="AX45" s="52"/>
      <c r="AY45" s="219" t="s">
        <v>223</v>
      </c>
      <c r="AZ45" s="214"/>
      <c r="BA45" s="214"/>
      <c r="BB45" s="10"/>
      <c r="BC45" s="10"/>
      <c r="BD45" s="10"/>
    </row>
    <row r="46" spans="2:56" s="12" customFormat="1" ht="15" customHeight="1" x14ac:dyDescent="0.15">
      <c r="B46" s="96">
        <v>6</v>
      </c>
      <c r="C46" s="87">
        <f>(INDEX(Input_disp_check!$C$65:$C$80, MATCH(B46,Input_disp_check!$B$65:$B$80,0)))</f>
        <v>1500</v>
      </c>
      <c r="D46" s="132" t="str">
        <f>(INDEX(Input_disp_check!$D$65:$D$80, MATCH(B46,Input_disp_check!$B$65:$B$80,0)))</f>
        <v>C -</v>
      </c>
      <c r="E46" s="133">
        <f>(INDEX(Input_disp_check!$E$65:$E$80, MATCH(B46,Input_disp_check!$B$65:$B$80,0)))</f>
        <v>125</v>
      </c>
      <c r="F46" s="72">
        <f>SQRT(2*PI()^2*Input_disp_check!$C$8/Input_disp_check!$C$6)</f>
        <v>122.77449910610369</v>
      </c>
      <c r="G46" s="136">
        <v>2</v>
      </c>
      <c r="H46" s="73">
        <f>G46*C46/(INDEX(profile_C!$O$6:$O$17, MATCH(E46, profile_C!$C$6:$C$17, 0)))</f>
        <v>157.89473684210526</v>
      </c>
      <c r="I46" s="73" t="str">
        <f t="shared" si="133"/>
        <v>OK</v>
      </c>
      <c r="J46" s="73">
        <f>12*PI()^2*Input_disp_check!$C$8/(23*H46^2)</f>
        <v>43.374765776613579</v>
      </c>
      <c r="K46" s="73">
        <f>(1-H46^2/(2*F46^2))*Input_disp_check!$C$6 / ((5/3) + (3*H46/(8*F46))-(H46^3/(8*F46^3)))</f>
        <v>25.26938831427675</v>
      </c>
      <c r="L46" s="74">
        <f t="shared" si="134"/>
        <v>43.374765776613579</v>
      </c>
      <c r="M46" s="75">
        <f>(INDEX(Input_disp_check!$I$65:$I$80, MATCH(B46,Input_disp_check!$B$65:$B$80,0)))/(INDEX(profile_C!$H$6:$H$17, MATCH(E46, profile_C!$C$6:$C$17, 0)))</f>
        <v>2.2926125073056691</v>
      </c>
      <c r="N46" s="76" t="str">
        <f>IF(M46/Input_disp_check!$C$6&lt;=0.16,"OK","Warning")</f>
        <v>OK</v>
      </c>
      <c r="O46" s="73">
        <f>200*(INDEX(profile_C!$D$6:$D$17, MATCH(E46, profile_C!$C$6:$C$17, 0)))/SQRT(Input_disp_check!$C$6)</f>
        <v>783.92949590218529</v>
      </c>
      <c r="P46" s="73">
        <f>138000/(E46/((INDEX(profile_C!$D$6:$D$17, MATCH(E46, profile_C!$C$6:$C$17, 0)))*(INDEX(profile_C!$F$6:$F$17, MATCH(E46, profile_C!$C$6:$C$17, 0))))*Input_disp_check!$C$6)</f>
        <v>2087.5636363636363</v>
      </c>
      <c r="Q46" s="74">
        <f t="shared" si="135"/>
        <v>783.92949590218529</v>
      </c>
      <c r="R46" s="73">
        <f>INDEX(profile_C!$I$6:$I$17, MATCH(E46, profile_C!$C$6:$C$17, 0))</f>
        <v>17.076016955395168</v>
      </c>
      <c r="S46" s="73">
        <f t="shared" si="136"/>
        <v>87.842498863651855</v>
      </c>
      <c r="T46" s="73">
        <f>(703.3*1000*V46/Input_disp_check!$C$6)^0.5</f>
        <v>50.571281825306201</v>
      </c>
      <c r="U46" s="73">
        <f>(3516*1000*V46/Input_disp_check!$C$6)^0.5</f>
        <v>113.07278428275544</v>
      </c>
      <c r="V46" s="77">
        <v>1</v>
      </c>
      <c r="W46" s="71">
        <f>MIN(0.66*Input_disp_check!$C$6, 0.55*Input_disp_check!$C$7)</f>
        <v>181.5</v>
      </c>
      <c r="X46" s="179"/>
      <c r="Y46" s="179"/>
      <c r="Z46" s="73">
        <f>MIN((82740*V46)/(C46*E46/INDEX(profile_C!$U$6:$U$17, MATCH(E46, profile_C!$C$6:$C$17, 0))), 0.6*Input_disp_check!$C$6)</f>
        <v>165</v>
      </c>
      <c r="AA46" s="71">
        <f t="shared" si="137"/>
        <v>165</v>
      </c>
      <c r="AB46" s="74">
        <f t="shared" si="138"/>
        <v>165</v>
      </c>
      <c r="AC46" s="73">
        <f>(INDEX(Input_disp_check!$P$65:$P$80, MATCH(B46,Input_disp_check!$B$65:$B$80,0)))/INDEX(profile_C!$K$6:$K$17,MATCH(E46, profile_C!$C$6:$C$17, 0))</f>
        <v>43.392256637168138</v>
      </c>
      <c r="AD46" s="75">
        <f>(INDEX(Input_disp_check!$N$65:$N$80, MATCH(B46,Input_disp_check!$B$65:$B$80,0)))/INDEX(profile_C!$K$6:$K$17,MATCH(E46, profile_C!$C$6:$C$17, 0))</f>
        <v>17.356902654867255</v>
      </c>
      <c r="AE46" s="180">
        <f>0.6*Input_disp_check!$C$6</f>
        <v>165</v>
      </c>
      <c r="AF46" s="79">
        <f>(INDEX(Input_disp_check!$Q$65:$Q$80, MATCH(B46,Input_disp_check!$B$65:$B$80,0)))/INDEX(profile_C!$N$6:$N$17, MATCH(E46, profile_C!$C$6:$C$17, 0))</f>
        <v>87.82074626865672</v>
      </c>
      <c r="AG46" s="80">
        <f>12*PI()^2*Input_disp_check!$C$8/(23*(G46*C46/INDEX(profile_C!$L$6:$L$17, MATCH(E46, profile_C!$C$6:$C$17, 0)))^2)</f>
        <v>297.9810363341627</v>
      </c>
      <c r="AH46" s="81">
        <f>12*PI()^2*Input_disp_check!$C$8/(23*(G46*C46/INDEX(profile_C!$O$6:$O$17, MATCH(E46, profile_C!$C$6:$C$17, 0)))^2)</f>
        <v>43.374765776613579</v>
      </c>
      <c r="AI46" s="82">
        <v>0.85</v>
      </c>
      <c r="AJ46" s="83">
        <f t="shared" si="139"/>
        <v>0.62062041644787103</v>
      </c>
      <c r="AK46" s="83">
        <f>(M46/(0.6*Input_disp_check!$C$6))+(AD46/AB46)+(AF46/AE46)</f>
        <v>0.65133491776260388</v>
      </c>
      <c r="AL46" s="83">
        <f t="shared" si="140"/>
        <v>0.69029620169109984</v>
      </c>
      <c r="AM46" s="169">
        <f t="shared" si="141"/>
        <v>0.69029620169109984</v>
      </c>
      <c r="AN46" s="156" t="str">
        <f t="shared" si="142"/>
        <v>OK</v>
      </c>
      <c r="AO46" s="83">
        <f t="shared" si="143"/>
        <v>0.27812495224742428</v>
      </c>
      <c r="AP46" s="83">
        <f>(M46/(0.6*Input_disp_check!$C$6))+(AC46/AB46)</f>
        <v>0.27687799481499281</v>
      </c>
      <c r="AQ46" s="83">
        <f t="shared" si="144"/>
        <v>0.31583927874348872</v>
      </c>
      <c r="AR46" s="169">
        <f t="shared" si="145"/>
        <v>0.31583927874348872</v>
      </c>
      <c r="AS46" s="157" t="str">
        <f t="shared" si="146"/>
        <v>OK</v>
      </c>
      <c r="AT46" s="78">
        <f>MIN(0.4*Input_disp_check!$C$6,0.33*Input_disp_check!$C$7)</f>
        <v>110</v>
      </c>
      <c r="AU46" s="86">
        <f>(INDEX(Input_disp_check!$I$65:$I$80, MATCH(B46,Input_disp_check!$B$65:$B$80,0)))/INDEX(profile_C!$T$6:$T$17, MATCH(E46, profile_C!$C$6:$C$17, 0))</f>
        <v>5.2302133333333334</v>
      </c>
      <c r="AV46" s="169">
        <f t="shared" si="147"/>
        <v>4.7547393939393938E-2</v>
      </c>
      <c r="AW46" s="157" t="str">
        <f t="shared" si="148"/>
        <v>OK</v>
      </c>
      <c r="AX46" s="52"/>
      <c r="AY46" s="219" t="s">
        <v>223</v>
      </c>
      <c r="AZ46" s="214"/>
      <c r="BA46" s="214"/>
      <c r="BB46" s="10"/>
      <c r="BC46" s="10"/>
      <c r="BD46" s="10"/>
    </row>
    <row r="47" spans="2:56" s="12" customFormat="1" ht="15" customHeight="1" x14ac:dyDescent="0.15">
      <c r="B47" s="96">
        <v>7</v>
      </c>
      <c r="C47" s="87">
        <f>(INDEX(Input_disp_check!$C$65:$C$80, MATCH(B47,Input_disp_check!$B$65:$B$80,0)))</f>
        <v>1500</v>
      </c>
      <c r="D47" s="132" t="str">
        <f>(INDEX(Input_disp_check!$D$65:$D$80, MATCH(B47,Input_disp_check!$B$65:$B$80,0)))</f>
        <v>C -</v>
      </c>
      <c r="E47" s="133">
        <f>(INDEX(Input_disp_check!$E$65:$E$80, MATCH(B47,Input_disp_check!$B$65:$B$80,0)))</f>
        <v>100</v>
      </c>
      <c r="F47" s="72">
        <f>SQRT(2*PI()^2*Input_disp_check!$C$8/Input_disp_check!$C$6)</f>
        <v>122.77449910610369</v>
      </c>
      <c r="G47" s="136">
        <v>2</v>
      </c>
      <c r="H47" s="73">
        <f>G47*C47/(INDEX(profile_C!$O$6:$O$17, MATCH(E47, profile_C!$C$6:$C$17, 0)))</f>
        <v>202.70270270270268</v>
      </c>
      <c r="I47" s="73" t="str">
        <f t="shared" si="133"/>
        <v>N.G</v>
      </c>
      <c r="J47" s="73">
        <f>12*PI()^2*Input_disp_check!$C$8/(23*H47^2)</f>
        <v>26.318029628003991</v>
      </c>
      <c r="K47" s="73">
        <f>(1-H47^2/(2*F47^2))*Input_disp_check!$C$6 / ((5/3) + (3*H47/(8*F47))-(H47^3/(8*F47^3)))</f>
        <v>-57.9169610742263</v>
      </c>
      <c r="L47" s="74">
        <f t="shared" si="134"/>
        <v>26.318029628003991</v>
      </c>
      <c r="M47" s="75">
        <f>(INDEX(Input_disp_check!$I$65:$I$80, MATCH(B47,Input_disp_check!$B$65:$B$80,0)))/(INDEX(profile_C!$H$6:$H$17, MATCH(E47, profile_C!$C$6:$C$17, 0)))</f>
        <v>1.2340583053691274</v>
      </c>
      <c r="N47" s="76" t="str">
        <f>IF(M47/Input_disp_check!$C$6&lt;=0.16,"OK","Warning")</f>
        <v>OK</v>
      </c>
      <c r="O47" s="73">
        <f>200*(INDEX(profile_C!$D$6:$D$17, MATCH(E47, profile_C!$C$6:$C$17, 0)))/SQRT(Input_disp_check!$C$6)</f>
        <v>603.02268915552713</v>
      </c>
      <c r="P47" s="73">
        <f>138000/(E47/((INDEX(profile_C!$D$6:$D$17, MATCH(E47, profile_C!$C$6:$C$17, 0)))*(INDEX(profile_C!$F$6:$F$17, MATCH(E47, profile_C!$C$6:$C$17, 0))))*Input_disp_check!$C$6)</f>
        <v>1881.818181818182</v>
      </c>
      <c r="Q47" s="74">
        <f t="shared" si="135"/>
        <v>603.02268915552713</v>
      </c>
      <c r="R47" s="73">
        <f>INDEX(profile_C!$I$6:$I$17, MATCH(E47, profile_C!$C$6:$C$17, 0))</f>
        <v>13.250080820302504</v>
      </c>
      <c r="S47" s="73">
        <f t="shared" si="136"/>
        <v>113.20685664812076</v>
      </c>
      <c r="T47" s="73">
        <f>(703.3*1000*V47/Input_disp_check!$C$6)^0.5</f>
        <v>50.571281825306201</v>
      </c>
      <c r="U47" s="73">
        <f>(3516*1000*V47/Input_disp_check!$C$6)^0.5</f>
        <v>113.07278428275544</v>
      </c>
      <c r="V47" s="77">
        <v>1</v>
      </c>
      <c r="W47" s="71">
        <f>MIN(0.66*Input_disp_check!$C$6, 0.55*Input_disp_check!$C$7)</f>
        <v>181.5</v>
      </c>
      <c r="X47" s="179"/>
      <c r="Y47" s="179"/>
      <c r="Z47" s="73">
        <f>MIN((82740*V47)/(C47*E47/INDEX(profile_C!$U$6:$U$17, MATCH(E47, profile_C!$C$6:$C$17, 0))), 0.6*Input_disp_check!$C$6)</f>
        <v>165</v>
      </c>
      <c r="AA47" s="71">
        <f t="shared" si="137"/>
        <v>165</v>
      </c>
      <c r="AB47" s="74">
        <f t="shared" si="138"/>
        <v>165</v>
      </c>
      <c r="AC47" s="73">
        <f>(INDEX(Input_disp_check!$P$65:$P$80, MATCH(B47,Input_disp_check!$B$65:$B$80,0)))/INDEX(profile_C!$K$6:$K$17,MATCH(E47, profile_C!$C$6:$C$17, 0))</f>
        <v>29.341705452127659</v>
      </c>
      <c r="AD47" s="75">
        <f>(INDEX(Input_disp_check!$N$65:$N$80, MATCH(B47,Input_disp_check!$B$65:$B$80,0)))/INDEX(profile_C!$K$6:$K$17,MATCH(E47, profile_C!$C$6:$C$17, 0))</f>
        <v>11.736682180851064</v>
      </c>
      <c r="AE47" s="180">
        <f>0.6*Input_disp_check!$C$6</f>
        <v>165</v>
      </c>
      <c r="AF47" s="79">
        <f>(INDEX(Input_disp_check!$Q$65:$Q$80, MATCH(B47,Input_disp_check!$B$65:$B$80,0)))/INDEX(profile_C!$N$6:$N$17, MATCH(E47, profile_C!$C$6:$C$17, 0))</f>
        <v>58.683410904255318</v>
      </c>
      <c r="AG47" s="80">
        <f>12*PI()^2*Input_disp_check!$C$8/(23*(G47*C47/INDEX(profile_C!$L$6:$L$17, MATCH(E47, profile_C!$C$6:$C$17, 0)))^2)</f>
        <v>189.3699019192878</v>
      </c>
      <c r="AH47" s="81">
        <f>12*PI()^2*Input_disp_check!$C$8/(23*(G47*C47/INDEX(profile_C!$O$6:$O$17, MATCH(E47, profile_C!$C$6:$C$17, 0)))^2)</f>
        <v>26.318029628003991</v>
      </c>
      <c r="AI47" s="82">
        <v>0.85</v>
      </c>
      <c r="AJ47" s="83">
        <f t="shared" si="139"/>
        <v>0.42492968944043813</v>
      </c>
      <c r="AK47" s="83">
        <f>(M47/(0.6*Input_disp_check!$C$6))+(AD47/AB47)+(AF47/AE47)</f>
        <v>0.43426758418470002</v>
      </c>
      <c r="AL47" s="83">
        <f t="shared" si="140"/>
        <v>0.47367866697322442</v>
      </c>
      <c r="AM47" s="169">
        <f t="shared" si="141"/>
        <v>0.47367866697322442</v>
      </c>
      <c r="AN47" s="156" t="str">
        <f t="shared" si="142"/>
        <v>OK</v>
      </c>
      <c r="AO47" s="83">
        <f t="shared" si="143"/>
        <v>0.19903594540673147</v>
      </c>
      <c r="AP47" s="83">
        <f>(M47/(0.6*Input_disp_check!$C$6))+(AC47/AB47)</f>
        <v>0.18530765913634414</v>
      </c>
      <c r="AQ47" s="83">
        <f t="shared" si="144"/>
        <v>0.22471874192486851</v>
      </c>
      <c r="AR47" s="169">
        <f t="shared" si="145"/>
        <v>0.22471874192486851</v>
      </c>
      <c r="AS47" s="157" t="str">
        <f t="shared" si="146"/>
        <v>OK</v>
      </c>
      <c r="AT47" s="78">
        <f>MIN(0.4*Input_disp_check!$C$6,0.33*Input_disp_check!$C$7)</f>
        <v>110</v>
      </c>
      <c r="AU47" s="86">
        <f>(INDEX(Input_disp_check!$I$65:$I$80, MATCH(B47,Input_disp_check!$B$65:$B$80,0)))/INDEX(profile_C!$T$6:$T$17, MATCH(E47, profile_C!$C$6:$C$17, 0))</f>
        <v>2.9419949999999999</v>
      </c>
      <c r="AV47" s="169">
        <f t="shared" si="147"/>
        <v>2.6745409090909091E-2</v>
      </c>
      <c r="AW47" s="157" t="str">
        <f t="shared" si="148"/>
        <v>OK</v>
      </c>
      <c r="AX47" s="52"/>
      <c r="AY47" s="219" t="s">
        <v>225</v>
      </c>
      <c r="AZ47" s="214"/>
      <c r="BA47" s="214"/>
      <c r="BB47" s="10"/>
      <c r="BC47" s="10"/>
      <c r="BD47" s="10"/>
    </row>
    <row r="48" spans="2:56" s="12" customFormat="1" ht="15" customHeight="1" x14ac:dyDescent="0.15">
      <c r="B48" s="96">
        <v>8</v>
      </c>
      <c r="C48" s="87">
        <f>(INDEX(Input_disp_check!$C$65:$C$80, MATCH(B48,Input_disp_check!$B$65:$B$80,0)))</f>
        <v>1000</v>
      </c>
      <c r="D48" s="132" t="str">
        <f>(INDEX(Input_disp_check!$D$65:$D$80, MATCH(B48,Input_disp_check!$B$65:$B$80,0)))</f>
        <v>C -</v>
      </c>
      <c r="E48" s="133">
        <f>(INDEX(Input_disp_check!$E$65:$E$80, MATCH(B48,Input_disp_check!$B$65:$B$80,0)))</f>
        <v>150</v>
      </c>
      <c r="F48" s="72">
        <f>SQRT(2*PI()^2*Input_disp_check!$C$8/Input_disp_check!$C$6)</f>
        <v>122.77449910610369</v>
      </c>
      <c r="G48" s="136">
        <v>2</v>
      </c>
      <c r="H48" s="73">
        <f>G48*C48/(INDEX(profile_C!$O$6:$O$17, MATCH(E48, profile_C!$C$6:$C$17, 0)))</f>
        <v>90.090090090090087</v>
      </c>
      <c r="I48" s="73" t="str">
        <f t="shared" si="133"/>
        <v>OK</v>
      </c>
      <c r="J48" s="73">
        <f>12*PI()^2*Input_disp_check!$C$8/(23*H48^2)</f>
        <v>133.23502499177016</v>
      </c>
      <c r="K48" s="73">
        <f>(1-H48^2/(2*F48^2))*Input_disp_check!$C$6 / ((5/3) + (3*H48/(8*F48))-(H48^3/(8*F48^3)))</f>
        <v>106.1928093656646</v>
      </c>
      <c r="L48" s="74">
        <f t="shared" si="134"/>
        <v>106.1928093656646</v>
      </c>
      <c r="M48" s="75">
        <f>(INDEX(Input_disp_check!$I$65:$I$80, MATCH(B48,Input_disp_check!$B$65:$B$80,0)))/(INDEX(profile_C!$H$6:$H$17, MATCH(E48, profile_C!$C$6:$C$17, 0)))</f>
        <v>3.9292777309152251</v>
      </c>
      <c r="N48" s="76" t="str">
        <f>IF(M48/Input_disp_check!$C$6&lt;=0.16,"OK","Warning")</f>
        <v>OK</v>
      </c>
      <c r="O48" s="73">
        <f>200*(INDEX(profile_C!$D$6:$D$17, MATCH(E48, profile_C!$C$6:$C$17, 0)))/SQRT(Input_disp_check!$C$6)</f>
        <v>904.53403373329081</v>
      </c>
      <c r="P48" s="73">
        <f>138000/(E48/((INDEX(profile_C!$D$6:$D$17, MATCH(E48, profile_C!$C$6:$C$17, 0)))*(INDEX(profile_C!$F$6:$F$17, MATCH(E48, profile_C!$C$6:$C$17, 0))))*Input_disp_check!$C$6)</f>
        <v>2509.090909090909</v>
      </c>
      <c r="Q48" s="74">
        <f t="shared" si="135"/>
        <v>904.53403373329081</v>
      </c>
      <c r="R48" s="73">
        <f>INDEX(profile_C!$I$6:$I$17, MATCH(E48, profile_C!$C$6:$C$17, 0))</f>
        <v>19.879666547330533</v>
      </c>
      <c r="S48" s="73">
        <f t="shared" si="136"/>
        <v>50.302654605355102</v>
      </c>
      <c r="T48" s="73">
        <f>(703.3*1000*V48/Input_disp_check!$C$6)^0.5</f>
        <v>50.571281825306201</v>
      </c>
      <c r="U48" s="73">
        <f>(3516*1000*V48/Input_disp_check!$C$6)^0.5</f>
        <v>113.07278428275544</v>
      </c>
      <c r="V48" s="77">
        <v>1</v>
      </c>
      <c r="W48" s="71">
        <f>MIN(0.66*Input_disp_check!$C$6, 0.55*Input_disp_check!$C$7)</f>
        <v>181.5</v>
      </c>
      <c r="X48" s="179"/>
      <c r="Y48" s="179"/>
      <c r="Z48" s="73">
        <f>MIN((82740*V48)/(C48*E48/INDEX(profile_C!$U$6:$U$17, MATCH(E48, profile_C!$C$6:$C$17, 0))), 0.6*Input_disp_check!$C$6)</f>
        <v>165</v>
      </c>
      <c r="AA48" s="71">
        <f t="shared" si="137"/>
        <v>165</v>
      </c>
      <c r="AB48" s="74">
        <f t="shared" si="138"/>
        <v>165</v>
      </c>
      <c r="AC48" s="73">
        <f>(INDEX(Input_disp_check!$P$65:$P$80, MATCH(B48,Input_disp_check!$B$65:$B$80,0)))/INDEX(profile_C!$K$6:$K$17,MATCH(E48, profile_C!$C$6:$C$17, 0))</f>
        <v>48.606873913043479</v>
      </c>
      <c r="AD48" s="75">
        <f>(INDEX(Input_disp_check!$N$65:$N$80, MATCH(B48,Input_disp_check!$B$65:$B$80,0)))/INDEX(profile_C!$K$6:$K$17,MATCH(E48, profile_C!$C$6:$C$17, 0))</f>
        <v>24.303436956521736</v>
      </c>
      <c r="AE48" s="180">
        <f>0.6*Input_disp_check!$C$6</f>
        <v>165</v>
      </c>
      <c r="AF48" s="79">
        <f>(INDEX(Input_disp_check!$Q$65:$Q$80, MATCH(B48,Input_disp_check!$B$65:$B$80,0)))/INDEX(profile_C!$N$6:$N$17, MATCH(E48, profile_C!$C$6:$C$17, 0))</f>
        <v>83.181406249999995</v>
      </c>
      <c r="AG48" s="80">
        <f>12*PI()^2*Input_disp_check!$C$8/(23*(G48*C48/INDEX(profile_C!$L$6:$L$17, MATCH(E48, profile_C!$C$6:$C$17, 0)))^2)</f>
        <v>982.98543548073519</v>
      </c>
      <c r="AH48" s="81">
        <f>12*PI()^2*Input_disp_check!$C$8/(23*(G48*C48/INDEX(profile_C!$O$6:$O$17, MATCH(E48, profile_C!$C$6:$C$17, 0)))^2)</f>
        <v>133.23502499177016</v>
      </c>
      <c r="AI48" s="82">
        <v>0.85</v>
      </c>
      <c r="AJ48" s="83">
        <f t="shared" si="139"/>
        <v>0.60423497339617305</v>
      </c>
      <c r="AK48" s="83">
        <f>(M48/(0.6*Input_disp_check!$C$6))+(AD48/AB48)+(AF48/AE48)</f>
        <v>0.675237096590527</v>
      </c>
      <c r="AL48" s="83">
        <f t="shared" si="140"/>
        <v>0.68842464615435084</v>
      </c>
      <c r="AM48" s="169">
        <f t="shared" si="141"/>
        <v>0.68842464615435084</v>
      </c>
      <c r="AN48" s="156" t="str">
        <f t="shared" si="142"/>
        <v>OK</v>
      </c>
      <c r="AO48" s="83">
        <f t="shared" si="143"/>
        <v>0.2884053360169323</v>
      </c>
      <c r="AP48" s="83">
        <f>(M48/(0.6*Input_disp_check!$C$6))+(AC48/AB48)</f>
        <v>0.31840091905429518</v>
      </c>
      <c r="AQ48" s="83">
        <f t="shared" si="144"/>
        <v>0.33158846861811897</v>
      </c>
      <c r="AR48" s="169">
        <f t="shared" si="145"/>
        <v>0.33158846861811897</v>
      </c>
      <c r="AS48" s="157" t="str">
        <f t="shared" si="146"/>
        <v>OK</v>
      </c>
      <c r="AT48" s="78">
        <f>MIN(0.4*Input_disp_check!$C$6,0.33*Input_disp_check!$C$7)</f>
        <v>110</v>
      </c>
      <c r="AU48" s="86">
        <f>(INDEX(Input_disp_check!$I$65:$I$80, MATCH(B48,Input_disp_check!$B$65:$B$80,0)))/INDEX(profile_C!$T$6:$T$17, MATCH(E48, profile_C!$C$6:$C$17, 0))</f>
        <v>9.5551974358974352</v>
      </c>
      <c r="AV48" s="169">
        <f t="shared" si="147"/>
        <v>8.6865431235431223E-2</v>
      </c>
      <c r="AW48" s="157" t="str">
        <f t="shared" si="148"/>
        <v>OK</v>
      </c>
      <c r="AX48" s="52"/>
      <c r="AY48" s="219" t="s">
        <v>223</v>
      </c>
      <c r="AZ48" s="214"/>
      <c r="BA48" s="214"/>
      <c r="BB48" s="10"/>
      <c r="BC48" s="10"/>
      <c r="BD48" s="10"/>
    </row>
    <row r="49" spans="2:56" s="12" customFormat="1" ht="15" customHeight="1" x14ac:dyDescent="0.15">
      <c r="B49" s="96">
        <v>9</v>
      </c>
      <c r="C49" s="87">
        <f>(INDEX(Input_disp_check!$C$65:$C$80, MATCH(B49,Input_disp_check!$B$65:$B$80,0)))</f>
        <v>1000</v>
      </c>
      <c r="D49" s="132" t="str">
        <f>(INDEX(Input_disp_check!$D$65:$D$80, MATCH(B49,Input_disp_check!$B$65:$B$80,0)))</f>
        <v>C -</v>
      </c>
      <c r="E49" s="133">
        <f>(INDEX(Input_disp_check!$E$65:$E$80, MATCH(B49,Input_disp_check!$B$65:$B$80,0)))</f>
        <v>125</v>
      </c>
      <c r="F49" s="72">
        <f>SQRT(2*PI()^2*Input_disp_check!$C$8/Input_disp_check!$C$6)</f>
        <v>122.77449910610369</v>
      </c>
      <c r="G49" s="136">
        <v>2</v>
      </c>
      <c r="H49" s="73">
        <f>G49*C49/(INDEX(profile_C!$O$6:$O$17, MATCH(E49, profile_C!$C$6:$C$17, 0)))</f>
        <v>105.26315789473684</v>
      </c>
      <c r="I49" s="73" t="str">
        <f t="shared" si="133"/>
        <v>OK</v>
      </c>
      <c r="J49" s="73">
        <f>12*PI()^2*Input_disp_check!$C$8/(23*H49^2)</f>
        <v>97.593222997380565</v>
      </c>
      <c r="K49" s="73">
        <f>(1-H49^2/(2*F49^2))*Input_disp_check!$C$6 / ((5/3) + (3*H49/(8*F49))-(H49^3/(8*F49^3)))</f>
        <v>91.089355969667281</v>
      </c>
      <c r="L49" s="74">
        <f t="shared" si="134"/>
        <v>91.089355969667281</v>
      </c>
      <c r="M49" s="75">
        <f>(INDEX(Input_disp_check!$I$65:$I$80, MATCH(B49,Input_disp_check!$B$65:$B$80,0)))/(INDEX(profile_C!$H$6:$H$17, MATCH(E49, profile_C!$C$6:$C$17, 0)))</f>
        <v>3.1523421975452948</v>
      </c>
      <c r="N49" s="76" t="str">
        <f>IF(M49/Input_disp_check!$C$6&lt;=0.16,"OK","Warning")</f>
        <v>OK</v>
      </c>
      <c r="O49" s="73">
        <f>200*(INDEX(profile_C!$D$6:$D$17, MATCH(E49, profile_C!$C$6:$C$17, 0)))/SQRT(Input_disp_check!$C$6)</f>
        <v>783.92949590218529</v>
      </c>
      <c r="P49" s="73">
        <f>138000/(E49/((INDEX(profile_C!$D$6:$D$17, MATCH(E49, profile_C!$C$6:$C$17, 0)))*(INDEX(profile_C!$F$6:$F$17, MATCH(E49, profile_C!$C$6:$C$17, 0))))*Input_disp_check!$C$6)</f>
        <v>2087.5636363636363</v>
      </c>
      <c r="Q49" s="74">
        <f t="shared" si="135"/>
        <v>783.92949590218529</v>
      </c>
      <c r="R49" s="73">
        <f>INDEX(profile_C!$I$6:$I$17, MATCH(E49, profile_C!$C$6:$C$17, 0))</f>
        <v>17.076016955395168</v>
      </c>
      <c r="S49" s="73">
        <f t="shared" si="136"/>
        <v>58.561665909101244</v>
      </c>
      <c r="T49" s="73">
        <f>(703.3*1000*V49/Input_disp_check!$C$6)^0.5</f>
        <v>50.571281825306201</v>
      </c>
      <c r="U49" s="73">
        <f>(3516*1000*V49/Input_disp_check!$C$6)^0.5</f>
        <v>113.07278428275544</v>
      </c>
      <c r="V49" s="77">
        <v>1</v>
      </c>
      <c r="W49" s="71">
        <f>MIN(0.66*Input_disp_check!$C$6, 0.55*Input_disp_check!$C$7)</f>
        <v>181.5</v>
      </c>
      <c r="X49" s="179"/>
      <c r="Y49" s="179"/>
      <c r="Z49" s="73">
        <f>MIN((82740*V49)/(C49*E49/INDEX(profile_C!$U$6:$U$17, MATCH(E49, profile_C!$C$6:$C$17, 0))), 0.6*Input_disp_check!$C$6)</f>
        <v>165</v>
      </c>
      <c r="AA49" s="71">
        <f t="shared" si="137"/>
        <v>165</v>
      </c>
      <c r="AB49" s="74">
        <f t="shared" si="138"/>
        <v>165</v>
      </c>
      <c r="AC49" s="73">
        <f>(INDEX(Input_disp_check!$P$65:$P$80, MATCH(B49,Input_disp_check!$B$65:$B$80,0)))/INDEX(profile_C!$K$6:$K$17,MATCH(E49, profile_C!$C$6:$C$17, 0))</f>
        <v>47.731482300884949</v>
      </c>
      <c r="AD49" s="75">
        <f>(INDEX(Input_disp_check!$N$65:$N$80, MATCH(B49,Input_disp_check!$B$65:$B$80,0)))/INDEX(profile_C!$K$6:$K$17,MATCH(E49, profile_C!$C$6:$C$17, 0))</f>
        <v>23.865741150442474</v>
      </c>
      <c r="AE49" s="180">
        <f>0.6*Input_disp_check!$C$6</f>
        <v>165</v>
      </c>
      <c r="AF49" s="79">
        <f>(INDEX(Input_disp_check!$Q$65:$Q$80, MATCH(B49,Input_disp_check!$B$65:$B$80,0)))/INDEX(profile_C!$N$6:$N$17, MATCH(E49, profile_C!$C$6:$C$17, 0))</f>
        <v>80.502350746268633</v>
      </c>
      <c r="AG49" s="80">
        <f>12*PI()^2*Input_disp_check!$C$8/(23*(G49*C49/INDEX(profile_C!$L$6:$L$17, MATCH(E49, profile_C!$C$6:$C$17, 0)))^2)</f>
        <v>670.45733175186604</v>
      </c>
      <c r="AH49" s="81">
        <f>12*PI()^2*Input_disp_check!$C$8/(23*(G49*C49/INDEX(profile_C!$O$6:$O$17, MATCH(E49, profile_C!$C$6:$C$17, 0)))^2)</f>
        <v>97.593222997380565</v>
      </c>
      <c r="AI49" s="82">
        <v>0.85</v>
      </c>
      <c r="AJ49" s="83">
        <f t="shared" si="139"/>
        <v>0.58668431208323257</v>
      </c>
      <c r="AK49" s="83">
        <f>(M49/(0.6*Input_disp_check!$C$6))+(AD49/AB49)+(AF49/AE49)</f>
        <v>0.65163899451064489</v>
      </c>
      <c r="AL49" s="83">
        <f t="shared" si="140"/>
        <v>0.66714103141378056</v>
      </c>
      <c r="AM49" s="169">
        <f t="shared" si="141"/>
        <v>0.66714103141378056</v>
      </c>
      <c r="AN49" s="156" t="str">
        <f t="shared" si="142"/>
        <v>OK</v>
      </c>
      <c r="AO49" s="83">
        <f t="shared" si="143"/>
        <v>0.28165817476790667</v>
      </c>
      <c r="AP49" s="83">
        <f>(M49/(0.6*Input_disp_check!$C$6))+(AC49/AB49)</f>
        <v>0.3083868151420015</v>
      </c>
      <c r="AQ49" s="83">
        <f t="shared" si="144"/>
        <v>0.32388885204513723</v>
      </c>
      <c r="AR49" s="169">
        <f t="shared" si="145"/>
        <v>0.32388885204513723</v>
      </c>
      <c r="AS49" s="157" t="str">
        <f t="shared" si="146"/>
        <v>OK</v>
      </c>
      <c r="AT49" s="78">
        <f>MIN(0.4*Input_disp_check!$C$6,0.33*Input_disp_check!$C$7)</f>
        <v>110</v>
      </c>
      <c r="AU49" s="86">
        <f>(INDEX(Input_disp_check!$I$65:$I$80, MATCH(B49,Input_disp_check!$B$65:$B$80,0)))/INDEX(profile_C!$T$6:$T$17, MATCH(E49, profile_C!$C$6:$C$17, 0))</f>
        <v>7.1915433333333327</v>
      </c>
      <c r="AV49" s="169">
        <f t="shared" si="147"/>
        <v>6.5377666666666667E-2</v>
      </c>
      <c r="AW49" s="157" t="str">
        <f t="shared" si="148"/>
        <v>OK</v>
      </c>
      <c r="AX49" s="52"/>
      <c r="AY49" s="219" t="s">
        <v>223</v>
      </c>
      <c r="AZ49" s="214"/>
      <c r="BA49" s="214"/>
      <c r="BB49" s="10"/>
      <c r="BC49" s="10"/>
      <c r="BD49" s="10"/>
    </row>
    <row r="50" spans="2:56" s="12" customFormat="1" ht="15" customHeight="1" x14ac:dyDescent="0.15">
      <c r="B50" s="96">
        <v>10</v>
      </c>
      <c r="C50" s="87">
        <f>(INDEX(Input_disp_check!$C$65:$C$80, MATCH(B50,Input_disp_check!$B$65:$B$80,0)))</f>
        <v>1000</v>
      </c>
      <c r="D50" s="132" t="str">
        <f>(INDEX(Input_disp_check!$D$65:$D$80, MATCH(B50,Input_disp_check!$B$65:$B$80,0)))</f>
        <v>C -</v>
      </c>
      <c r="E50" s="133">
        <f>(INDEX(Input_disp_check!$E$65:$E$80, MATCH(B50,Input_disp_check!$B$65:$B$80,0)))</f>
        <v>100</v>
      </c>
      <c r="F50" s="72">
        <f>SQRT(2*PI()^2*Input_disp_check!$C$8/Input_disp_check!$C$6)</f>
        <v>122.77449910610369</v>
      </c>
      <c r="G50" s="136">
        <v>2</v>
      </c>
      <c r="H50" s="73">
        <f>G50*C50/(INDEX(profile_C!$O$6:$O$17, MATCH(E50, profile_C!$C$6:$C$17, 0)))</f>
        <v>135.13513513513513</v>
      </c>
      <c r="I50" s="73" t="str">
        <f t="shared" si="133"/>
        <v>OK</v>
      </c>
      <c r="J50" s="73">
        <f>12*PI()^2*Input_disp_check!$C$8/(23*H50^2)</f>
        <v>59.215566663008964</v>
      </c>
      <c r="K50" s="73">
        <f>(1-H50^2/(2*F50^2))*Input_disp_check!$C$6 / ((5/3) + (3*H50/(8*F50))-(H50^3/(8*F50^3)))</f>
        <v>56.683126787915228</v>
      </c>
      <c r="L50" s="74">
        <f t="shared" si="134"/>
        <v>59.215566663008964</v>
      </c>
      <c r="M50" s="75">
        <f>(INDEX(Input_disp_check!$I$65:$I$80, MATCH(B50,Input_disp_check!$B$65:$B$80,0)))/(INDEX(profile_C!$H$6:$H$17, MATCH(E50, profile_C!$C$6:$C$17, 0)))</f>
        <v>2.4681166107382548</v>
      </c>
      <c r="N50" s="76" t="str">
        <f>IF(M50/Input_disp_check!$C$6&lt;=0.16,"OK","Warning")</f>
        <v>OK</v>
      </c>
      <c r="O50" s="73">
        <f>200*(INDEX(profile_C!$D$6:$D$17, MATCH(E50, profile_C!$C$6:$C$17, 0)))/SQRT(Input_disp_check!$C$6)</f>
        <v>603.02268915552713</v>
      </c>
      <c r="P50" s="73">
        <f>138000/(E50/((INDEX(profile_C!$D$6:$D$17, MATCH(E50, profile_C!$C$6:$C$17, 0)))*(INDEX(profile_C!$F$6:$F$17, MATCH(E50, profile_C!$C$6:$C$17, 0))))*Input_disp_check!$C$6)</f>
        <v>1881.818181818182</v>
      </c>
      <c r="Q50" s="74">
        <f t="shared" si="135"/>
        <v>603.02268915552713</v>
      </c>
      <c r="R50" s="73">
        <f>INDEX(profile_C!$I$6:$I$17, MATCH(E50, profile_C!$C$6:$C$17, 0))</f>
        <v>13.250080820302504</v>
      </c>
      <c r="S50" s="73">
        <f t="shared" si="136"/>
        <v>75.471237765413846</v>
      </c>
      <c r="T50" s="73">
        <f>(703.3*1000*V50/Input_disp_check!$C$6)^0.5</f>
        <v>50.571281825306201</v>
      </c>
      <c r="U50" s="73">
        <f>(3516*1000*V50/Input_disp_check!$C$6)^0.5</f>
        <v>113.07278428275544</v>
      </c>
      <c r="V50" s="77">
        <v>1</v>
      </c>
      <c r="W50" s="71">
        <f>MIN(0.66*Input_disp_check!$C$6, 0.55*Input_disp_check!$C$7)</f>
        <v>181.5</v>
      </c>
      <c r="X50" s="179"/>
      <c r="Y50" s="179"/>
      <c r="Z50" s="73">
        <f>MIN((82740*V50)/(C50*E50/INDEX(profile_C!$U$6:$U$17, MATCH(E50, profile_C!$C$6:$C$17, 0))), 0.6*Input_disp_check!$C$6)</f>
        <v>165</v>
      </c>
      <c r="AA50" s="71">
        <f t="shared" si="137"/>
        <v>165</v>
      </c>
      <c r="AB50" s="74">
        <f t="shared" si="138"/>
        <v>165</v>
      </c>
      <c r="AC50" s="73">
        <f>(INDEX(Input_disp_check!$P$65:$P$80, MATCH(B50,Input_disp_check!$B$65:$B$80,0)))/INDEX(profile_C!$K$6:$K$17,MATCH(E50, profile_C!$C$6:$C$17, 0))</f>
        <v>46.946728723404256</v>
      </c>
      <c r="AD50" s="75">
        <f>(INDEX(Input_disp_check!$N$65:$N$80, MATCH(B50,Input_disp_check!$B$65:$B$80,0)))/INDEX(profile_C!$K$6:$K$17,MATCH(E50, profile_C!$C$6:$C$17, 0))</f>
        <v>23.473364361702128</v>
      </c>
      <c r="AE50" s="180">
        <f>0.6*Input_disp_check!$C$6</f>
        <v>165</v>
      </c>
      <c r="AF50" s="79">
        <f>(INDEX(Input_disp_check!$Q$65:$Q$80, MATCH(B50,Input_disp_check!$B$65:$B$80,0)))/INDEX(profile_C!$N$6:$N$17, MATCH(E50, profile_C!$C$6:$C$17, 0))</f>
        <v>78.244547872340419</v>
      </c>
      <c r="AG50" s="80">
        <f>12*PI()^2*Input_disp_check!$C$8/(23*(G50*C50/INDEX(profile_C!$L$6:$L$17, MATCH(E50, profile_C!$C$6:$C$17, 0)))^2)</f>
        <v>426.08227931839758</v>
      </c>
      <c r="AH50" s="81">
        <f>12*PI()^2*Input_disp_check!$C$8/(23*(G50*C50/INDEX(profile_C!$O$6:$O$17, MATCH(E50, profile_C!$C$6:$C$17, 0)))^2)</f>
        <v>59.215566663008964</v>
      </c>
      <c r="AI50" s="82">
        <v>0.85</v>
      </c>
      <c r="AJ50" s="83">
        <f t="shared" si="139"/>
        <v>0.58391717363727946</v>
      </c>
      <c r="AK50" s="83">
        <f>(M50/(0.6*Input_disp_check!$C$6))+(AD50/AB50)+(AF50/AE50)</f>
        <v>0.63143047784715645</v>
      </c>
      <c r="AL50" s="83">
        <f t="shared" si="140"/>
        <v>0.65815239449844321</v>
      </c>
      <c r="AM50" s="169">
        <f t="shared" si="141"/>
        <v>0.65815239449844321</v>
      </c>
      <c r="AN50" s="156" t="str">
        <f t="shared" si="142"/>
        <v>OK</v>
      </c>
      <c r="AO50" s="83">
        <f t="shared" si="143"/>
        <v>0.28493606305139785</v>
      </c>
      <c r="AP50" s="83">
        <f>(M50/(0.6*Input_disp_check!$C$6))+(AC50/AB50)</f>
        <v>0.29948391111601519</v>
      </c>
      <c r="AQ50" s="83">
        <f t="shared" si="144"/>
        <v>0.326205827767302</v>
      </c>
      <c r="AR50" s="169">
        <f t="shared" si="145"/>
        <v>0.326205827767302</v>
      </c>
      <c r="AS50" s="157" t="str">
        <f t="shared" si="146"/>
        <v>OK</v>
      </c>
      <c r="AT50" s="78">
        <f>MIN(0.4*Input_disp_check!$C$6,0.33*Input_disp_check!$C$7)</f>
        <v>110</v>
      </c>
      <c r="AU50" s="86">
        <f>(INDEX(Input_disp_check!$I$65:$I$80, MATCH(B50,Input_disp_check!$B$65:$B$80,0)))/INDEX(profile_C!$T$6:$T$17, MATCH(E50, profile_C!$C$6:$C$17, 0))</f>
        <v>5.8839899999999998</v>
      </c>
      <c r="AV50" s="169">
        <f t="shared" si="147"/>
        <v>5.3490818181818181E-2</v>
      </c>
      <c r="AW50" s="157" t="str">
        <f t="shared" si="148"/>
        <v>OK</v>
      </c>
      <c r="AX50" s="52"/>
      <c r="AY50" s="219" t="s">
        <v>223</v>
      </c>
      <c r="AZ50" s="214"/>
      <c r="BA50" s="214"/>
      <c r="BB50" s="10"/>
      <c r="BC50" s="10"/>
      <c r="BD50" s="10"/>
    </row>
    <row r="51" spans="2:56" s="12" customFormat="1" ht="15" customHeight="1" x14ac:dyDescent="0.15">
      <c r="B51" s="96">
        <v>11</v>
      </c>
      <c r="C51" s="87">
        <f>(INDEX(Input_disp_check!$C$65:$C$80, MATCH(B51,Input_disp_check!$B$65:$B$80,0)))</f>
        <v>500</v>
      </c>
      <c r="D51" s="132" t="str">
        <f>(INDEX(Input_disp_check!$D$65:$D$80, MATCH(B51,Input_disp_check!$B$65:$B$80,0)))</f>
        <v>C -</v>
      </c>
      <c r="E51" s="133">
        <f>(INDEX(Input_disp_check!$E$65:$E$80, MATCH(B51,Input_disp_check!$B$65:$B$80,0)))</f>
        <v>150</v>
      </c>
      <c r="F51" s="72">
        <f>SQRT(2*PI()^2*Input_disp_check!$C$8/Input_disp_check!$C$6)</f>
        <v>122.77449910610369</v>
      </c>
      <c r="G51" s="136">
        <v>2</v>
      </c>
      <c r="H51" s="73">
        <f>G51*C51/(INDEX(profile_C!$O$6:$O$17, MATCH(E51, profile_C!$C$6:$C$17, 0)))</f>
        <v>45.045045045045043</v>
      </c>
      <c r="I51" s="73" t="str">
        <f t="shared" si="133"/>
        <v>OK</v>
      </c>
      <c r="J51" s="73">
        <f>12*PI()^2*Input_disp_check!$C$8/(23*H51^2)</f>
        <v>532.94009996708064</v>
      </c>
      <c r="K51" s="73">
        <f>(1-H51^2/(2*F51^2))*Input_disp_check!$C$6 / ((5/3) + (3*H51/(8*F51))-(H51^3/(8*F51^3)))</f>
        <v>142.64738158405763</v>
      </c>
      <c r="L51" s="74">
        <f t="shared" ref="L51:L53" si="149">IF(H51&lt;F51,K51,J51)</f>
        <v>142.64738158405763</v>
      </c>
      <c r="M51" s="75">
        <f>(INDEX(Input_disp_check!$I$65:$I$80, MATCH(B51,Input_disp_check!$B$65:$B$80,0)))/(INDEX(profile_C!$H$6:$H$17, MATCH(E51, profile_C!$C$6:$C$17, 0)))</f>
        <v>6.6177309152256427</v>
      </c>
      <c r="N51" s="76" t="str">
        <f>IF(M51/Input_disp_check!$C$6&lt;=0.16,"OK","Warning")</f>
        <v>OK</v>
      </c>
      <c r="O51" s="73">
        <f>200*(INDEX(profile_C!$D$6:$D$17, MATCH(E51, profile_C!$C$6:$C$17, 0)))/SQRT(Input_disp_check!$C$6)</f>
        <v>904.53403373329081</v>
      </c>
      <c r="P51" s="73">
        <f>138000/(E51/((INDEX(profile_C!$D$6:$D$17, MATCH(E51, profile_C!$C$6:$C$17, 0)))*(INDEX(profile_C!$F$6:$F$17, MATCH(E51, profile_C!$C$6:$C$17, 0))))*Input_disp_check!$C$6)</f>
        <v>2509.090909090909</v>
      </c>
      <c r="Q51" s="74">
        <f t="shared" ref="Q51:Q53" si="150">MIN(O51:P51)</f>
        <v>904.53403373329081</v>
      </c>
      <c r="R51" s="73">
        <f>INDEX(profile_C!$I$6:$I$17, MATCH(E51, profile_C!$C$6:$C$17, 0))</f>
        <v>19.879666547330533</v>
      </c>
      <c r="S51" s="73">
        <f t="shared" ref="S51:S53" si="151">(C51)/R51</f>
        <v>25.151327302677551</v>
      </c>
      <c r="T51" s="73">
        <f>(703.3*1000*V51/Input_disp_check!$C$6)^0.5</f>
        <v>50.571281825306201</v>
      </c>
      <c r="U51" s="73">
        <f>(3516*1000*V51/Input_disp_check!$C$6)^0.5</f>
        <v>113.07278428275544</v>
      </c>
      <c r="V51" s="77">
        <v>1</v>
      </c>
      <c r="W51" s="71">
        <f>MIN(0.66*Input_disp_check!$C$6, 0.55*Input_disp_check!$C$7)</f>
        <v>181.5</v>
      </c>
      <c r="X51" s="179"/>
      <c r="Y51" s="179"/>
      <c r="Z51" s="73">
        <f>MIN((82740*V51)/(C51*E51/INDEX(profile_C!$U$6:$U$17, MATCH(E51, profile_C!$C$6:$C$17, 0))), 0.6*Input_disp_check!$C$6)</f>
        <v>165</v>
      </c>
      <c r="AA51" s="71">
        <f t="shared" ref="AA51:AA53" si="152">MAX(IF(S51&gt;=T51,IF(S51&lt;=U51,X51,Y51), Z51),Z51)</f>
        <v>165</v>
      </c>
      <c r="AB51" s="74">
        <f t="shared" ref="AB51:AB53" si="153">IF(C51&gt;Q51,AA51,W51)</f>
        <v>181.5</v>
      </c>
      <c r="AC51" s="73">
        <f>(INDEX(Input_disp_check!$P$65:$P$80, MATCH(B51,Input_disp_check!$B$65:$B$80,0)))/INDEX(profile_C!$K$6:$K$17,MATCH(E51, profile_C!$C$6:$C$17, 0))</f>
        <v>61.398156521739132</v>
      </c>
      <c r="AD51" s="75">
        <f>(INDEX(Input_disp_check!$N$65:$N$80, MATCH(B51,Input_disp_check!$B$65:$B$80,0)))/INDEX(profile_C!$K$6:$K$17,MATCH(E51, profile_C!$C$6:$C$17, 0))</f>
        <v>40.93210434782609</v>
      </c>
      <c r="AE51" s="180">
        <f>0.6*Input_disp_check!$C$6</f>
        <v>165</v>
      </c>
      <c r="AF51" s="79">
        <f>(INDEX(Input_disp_check!$Q$65:$Q$80, MATCH(B51,Input_disp_check!$B$65:$B$80,0)))/INDEX(profile_C!$N$6:$N$17, MATCH(E51, profile_C!$C$6:$C$17, 0))</f>
        <v>70.047499999999985</v>
      </c>
      <c r="AG51" s="80">
        <f>12*PI()^2*Input_disp_check!$C$8/(23*(G51*C51/INDEX(profile_C!$L$6:$L$17, MATCH(E51, profile_C!$C$6:$C$17, 0)))^2)</f>
        <v>3931.9417419229408</v>
      </c>
      <c r="AH51" s="81">
        <f>12*PI()^2*Input_disp_check!$C$8/(23*(G51*C51/INDEX(profile_C!$O$6:$O$17, MATCH(E51, profile_C!$C$6:$C$17, 0)))^2)</f>
        <v>532.94009996708064</v>
      </c>
      <c r="AI51" s="82">
        <v>0.85</v>
      </c>
      <c r="AJ51" s="83">
        <f t="shared" ref="AJ51:AJ53" si="154">(M51/L51)+(AI51*AD51/((1-M51/AG51)*AB51))+(AI51*AF51/((1-M51/AH51)*AE51))</f>
        <v>0.60379638873533947</v>
      </c>
      <c r="AK51" s="83">
        <f>(M51/(0.6*Input_disp_check!$C$6))+(AD51/AB51)+(AF51/AE51)</f>
        <v>0.69015899919875634</v>
      </c>
      <c r="AL51" s="83">
        <f t="shared" ref="AL51:AL53" si="155">(M51/L51)+(AD51/AB51)+(AF51/AE51)</f>
        <v>0.69644377457366935</v>
      </c>
      <c r="AM51" s="169">
        <f t="shared" ref="AM51:AM53" si="156">IF(M51/L51&lt;=0.15,AL51,MAX(AJ51,AK51))</f>
        <v>0.69644377457366935</v>
      </c>
      <c r="AN51" s="156" t="str">
        <f t="shared" ref="AN51:AN53" si="157">IF(AM51&lt;=1,"OK","NG")</f>
        <v>OK</v>
      </c>
      <c r="AO51" s="83">
        <f t="shared" ref="AO51:AO53" si="158">(M51/L51)+(AI51*AC51/((1-M51/AG51)*AB51))</f>
        <v>0.33441657642539613</v>
      </c>
      <c r="AP51" s="83">
        <f>(M51/(0.6*Input_disp_check!$C$6))+(AC51/AB51)</f>
        <v>0.37838931420654182</v>
      </c>
      <c r="AQ51" s="83">
        <f t="shared" ref="AQ51:AQ53" si="159">(M51/L51)+(AC51/AB51)</f>
        <v>0.38467408958145477</v>
      </c>
      <c r="AR51" s="169">
        <f t="shared" ref="AR51:AR53" si="160">IF(M51/L51&lt;=0.15,AQ51,MAX(AO51,AP51))</f>
        <v>0.38467408958145477</v>
      </c>
      <c r="AS51" s="157" t="str">
        <f t="shared" ref="AS51:AS53" si="161">IF(AR51&lt;=1,"OK","NG")</f>
        <v>OK</v>
      </c>
      <c r="AT51" s="78">
        <f>MIN(0.4*Input_disp_check!$C$6,0.33*Input_disp_check!$C$7)</f>
        <v>110</v>
      </c>
      <c r="AU51" s="86">
        <f>(INDEX(Input_disp_check!$I$65:$I$80, MATCH(B51,Input_disp_check!$B$65:$B$80,0)))/INDEX(profile_C!$T$6:$T$17, MATCH(E51, profile_C!$C$6:$C$17, 0))</f>
        <v>16.092964102564103</v>
      </c>
      <c r="AV51" s="169">
        <f t="shared" ref="AV51:AV53" si="162">AU51/AT51</f>
        <v>0.14629967365967367</v>
      </c>
      <c r="AW51" s="157" t="str">
        <f t="shared" ref="AW51:AW53" si="163">IF(AV51&lt;=1,"OK","NG")</f>
        <v>OK</v>
      </c>
      <c r="AX51" s="52"/>
      <c r="AY51" s="219" t="s">
        <v>223</v>
      </c>
      <c r="AZ51" s="214"/>
      <c r="BA51" s="214"/>
      <c r="BB51" s="10"/>
      <c r="BC51" s="10"/>
      <c r="BD51" s="10"/>
    </row>
    <row r="52" spans="2:56" s="12" customFormat="1" ht="15" customHeight="1" x14ac:dyDescent="0.15">
      <c r="B52" s="96">
        <v>12</v>
      </c>
      <c r="C52" s="87">
        <f>(INDEX(Input_disp_check!$C$65:$C$80, MATCH(B52,Input_disp_check!$B$65:$B$80,0)))</f>
        <v>500</v>
      </c>
      <c r="D52" s="132" t="str">
        <f>(INDEX(Input_disp_check!$D$65:$D$80, MATCH(B52,Input_disp_check!$B$65:$B$80,0)))</f>
        <v>C -</v>
      </c>
      <c r="E52" s="133">
        <f>(INDEX(Input_disp_check!$E$65:$E$80, MATCH(B52,Input_disp_check!$B$65:$B$80,0)))</f>
        <v>125</v>
      </c>
      <c r="F52" s="72">
        <f>SQRT(2*PI()^2*Input_disp_check!$C$8/Input_disp_check!$C$6)</f>
        <v>122.77449910610369</v>
      </c>
      <c r="G52" s="136">
        <v>2</v>
      </c>
      <c r="H52" s="73">
        <f>G52*C52/(INDEX(profile_C!$O$6:$O$17, MATCH(E52, profile_C!$C$6:$C$17, 0)))</f>
        <v>52.631578947368418</v>
      </c>
      <c r="I52" s="73" t="str">
        <f t="shared" si="133"/>
        <v>OK</v>
      </c>
      <c r="J52" s="73">
        <f>12*PI()^2*Input_disp_check!$C$8/(23*H52^2)</f>
        <v>390.37289198952226</v>
      </c>
      <c r="K52" s="73">
        <f>(1-H52^2/(2*F52^2))*Input_disp_check!$C$6 / ((5/3) + (3*H52/(8*F52))-(H52^3/(8*F52^3)))</f>
        <v>137.39811219358182</v>
      </c>
      <c r="L52" s="74">
        <f t="shared" si="149"/>
        <v>137.39811219358182</v>
      </c>
      <c r="M52" s="75">
        <f>(INDEX(Input_disp_check!$I$65:$I$80, MATCH(B52,Input_disp_check!$B$65:$B$80,0)))/(INDEX(profile_C!$H$6:$H$17, MATCH(E52, profile_C!$C$6:$C$17, 0)))</f>
        <v>5.4449547048509634</v>
      </c>
      <c r="N52" s="76" t="str">
        <f>IF(M52/Input_disp_check!$C$6&lt;=0.16,"OK","Warning")</f>
        <v>OK</v>
      </c>
      <c r="O52" s="73">
        <f>200*(INDEX(profile_C!$D$6:$D$17, MATCH(E52, profile_C!$C$6:$C$17, 0)))/SQRT(Input_disp_check!$C$6)</f>
        <v>783.92949590218529</v>
      </c>
      <c r="P52" s="73">
        <f>138000/(E52/((INDEX(profile_C!$D$6:$D$17, MATCH(E52, profile_C!$C$6:$C$17, 0)))*(INDEX(profile_C!$F$6:$F$17, MATCH(E52, profile_C!$C$6:$C$17, 0))))*Input_disp_check!$C$6)</f>
        <v>2087.5636363636363</v>
      </c>
      <c r="Q52" s="74">
        <f t="shared" si="150"/>
        <v>783.92949590218529</v>
      </c>
      <c r="R52" s="73">
        <f>INDEX(profile_C!$I$6:$I$17, MATCH(E52, profile_C!$C$6:$C$17, 0))</f>
        <v>17.076016955395168</v>
      </c>
      <c r="S52" s="73">
        <f t="shared" si="151"/>
        <v>29.280832954550622</v>
      </c>
      <c r="T52" s="73">
        <f>(703.3*1000*V52/Input_disp_check!$C$6)^0.5</f>
        <v>50.571281825306201</v>
      </c>
      <c r="U52" s="73">
        <f>(3516*1000*V52/Input_disp_check!$C$6)^0.5</f>
        <v>113.07278428275544</v>
      </c>
      <c r="V52" s="77">
        <v>1</v>
      </c>
      <c r="W52" s="71">
        <f>MIN(0.66*Input_disp_check!$C$6, 0.55*Input_disp_check!$C$7)</f>
        <v>181.5</v>
      </c>
      <c r="X52" s="179"/>
      <c r="Y52" s="179"/>
      <c r="Z52" s="73">
        <f>MIN((82740*V52)/(C52*E52/INDEX(profile_C!$U$6:$U$17, MATCH(E52, profile_C!$C$6:$C$17, 0))), 0.6*Input_disp_check!$C$6)</f>
        <v>165</v>
      </c>
      <c r="AA52" s="71">
        <f t="shared" si="152"/>
        <v>165</v>
      </c>
      <c r="AB52" s="74">
        <f t="shared" si="153"/>
        <v>181.5</v>
      </c>
      <c r="AC52" s="73">
        <f>(INDEX(Input_disp_check!$P$65:$P$80, MATCH(B52,Input_disp_check!$B$65:$B$80,0)))/INDEX(profile_C!$K$6:$K$17,MATCH(E52, profile_C!$C$6:$C$17, 0))</f>
        <v>61.833965707964595</v>
      </c>
      <c r="AD52" s="75">
        <f>(INDEX(Input_disp_check!$N$65:$N$80, MATCH(B52,Input_disp_check!$B$65:$B$80,0)))/INDEX(profile_C!$K$6:$K$17,MATCH(E52, profile_C!$C$6:$C$17, 0))</f>
        <v>41.22264380530973</v>
      </c>
      <c r="AE52" s="180">
        <f>0.6*Input_disp_check!$C$6</f>
        <v>165</v>
      </c>
      <c r="AF52" s="79">
        <f>(INDEX(Input_disp_check!$Q$65:$Q$80, MATCH(B52,Input_disp_check!$B$65:$B$80,0)))/INDEX(profile_C!$N$6:$N$17, MATCH(E52, profile_C!$C$6:$C$17, 0))</f>
        <v>69.524757462686551</v>
      </c>
      <c r="AG52" s="80">
        <f>12*PI()^2*Input_disp_check!$C$8/(23*(G52*C52/INDEX(profile_C!$L$6:$L$17, MATCH(E52, profile_C!$C$6:$C$17, 0)))^2)</f>
        <v>2681.8293270074641</v>
      </c>
      <c r="AH52" s="81">
        <f>12*PI()^2*Input_disp_check!$C$8/(23*(G52*C52/INDEX(profile_C!$O$6:$O$17, MATCH(E52, profile_C!$C$6:$C$17, 0)))^2)</f>
        <v>390.37289198952226</v>
      </c>
      <c r="AI52" s="82">
        <v>0.85</v>
      </c>
      <c r="AJ52" s="83">
        <f t="shared" si="154"/>
        <v>0.59629961935644149</v>
      </c>
      <c r="AK52" s="83">
        <f>(M52/(0.6*Input_disp_check!$C$6))+(AD52/AB52)+(AF52/AE52)</f>
        <v>0.68148389636143802</v>
      </c>
      <c r="AL52" s="83">
        <f t="shared" si="155"/>
        <v>0.68811320666205655</v>
      </c>
      <c r="AM52" s="169">
        <f t="shared" si="156"/>
        <v>0.68811320666205655</v>
      </c>
      <c r="AN52" s="156" t="str">
        <f t="shared" si="157"/>
        <v>OK</v>
      </c>
      <c r="AO52" s="83">
        <f t="shared" si="158"/>
        <v>0.32979872692809403</v>
      </c>
      <c r="AP52" s="83">
        <f>(M52/(0.6*Input_disp_check!$C$6))+(AC52/AB52)</f>
        <v>0.37368273213939757</v>
      </c>
      <c r="AQ52" s="83">
        <f t="shared" si="159"/>
        <v>0.3803120424400161</v>
      </c>
      <c r="AR52" s="169">
        <f t="shared" si="160"/>
        <v>0.3803120424400161</v>
      </c>
      <c r="AS52" s="157" t="str">
        <f t="shared" si="161"/>
        <v>OK</v>
      </c>
      <c r="AT52" s="78">
        <f>MIN(0.4*Input_disp_check!$C$6,0.33*Input_disp_check!$C$7)</f>
        <v>110</v>
      </c>
      <c r="AU52" s="86">
        <f>(INDEX(Input_disp_check!$I$65:$I$80, MATCH(B52,Input_disp_check!$B$65:$B$80,0)))/INDEX(profile_C!$T$6:$T$17, MATCH(E52, profile_C!$C$6:$C$17, 0))</f>
        <v>12.421756666666665</v>
      </c>
      <c r="AV52" s="169">
        <f t="shared" si="162"/>
        <v>0.1129250606060606</v>
      </c>
      <c r="AW52" s="157" t="str">
        <f t="shared" si="163"/>
        <v>OK</v>
      </c>
      <c r="AX52" s="52"/>
      <c r="AY52" s="219" t="s">
        <v>223</v>
      </c>
      <c r="AZ52" s="214"/>
      <c r="BA52" s="214"/>
      <c r="BB52" s="10"/>
      <c r="BC52" s="10"/>
      <c r="BD52" s="10"/>
    </row>
    <row r="53" spans="2:56" s="12" customFormat="1" ht="15" customHeight="1" x14ac:dyDescent="0.15">
      <c r="B53" s="96">
        <v>13</v>
      </c>
      <c r="C53" s="87">
        <f>(INDEX(Input_disp_check!$C$65:$C$80, MATCH(B53,Input_disp_check!$B$65:$B$80,0)))</f>
        <v>500</v>
      </c>
      <c r="D53" s="132" t="str">
        <f>(INDEX(Input_disp_check!$D$65:$D$80, MATCH(B53,Input_disp_check!$B$65:$B$80,0)))</f>
        <v>C -</v>
      </c>
      <c r="E53" s="133">
        <f>(INDEX(Input_disp_check!$E$65:$E$80, MATCH(B53,Input_disp_check!$B$65:$B$80,0)))</f>
        <v>100</v>
      </c>
      <c r="F53" s="72">
        <f>SQRT(2*PI()^2*Input_disp_check!$C$8/Input_disp_check!$C$6)</f>
        <v>122.77449910610369</v>
      </c>
      <c r="G53" s="136">
        <v>2</v>
      </c>
      <c r="H53" s="73">
        <f>G53*C53/(INDEX(profile_C!$O$6:$O$17, MATCH(E53, profile_C!$C$6:$C$17, 0)))</f>
        <v>67.567567567567565</v>
      </c>
      <c r="I53" s="73" t="str">
        <f t="shared" si="133"/>
        <v>OK</v>
      </c>
      <c r="J53" s="73">
        <f>12*PI()^2*Input_disp_check!$C$8/(23*H53^2)</f>
        <v>236.86226665203586</v>
      </c>
      <c r="K53" s="73">
        <f>(1-H53^2/(2*F53^2))*Input_disp_check!$C$6 / ((5/3) + (3*H53/(8*F53))-(H53^3/(8*F53^3)))</f>
        <v>125.98744124884082</v>
      </c>
      <c r="L53" s="74">
        <f t="shared" si="149"/>
        <v>125.98744124884082</v>
      </c>
      <c r="M53" s="75">
        <f>(INDEX(Input_disp_check!$I$65:$I$80, MATCH(B53,Input_disp_check!$B$65:$B$80,0)))/(INDEX(profile_C!$H$6:$H$17, MATCH(E53, profile_C!$C$6:$C$17, 0)))</f>
        <v>4.1135276845637581</v>
      </c>
      <c r="N53" s="76" t="str">
        <f>IF(M53/Input_disp_check!$C$6&lt;=0.16,"OK","Warning")</f>
        <v>OK</v>
      </c>
      <c r="O53" s="73">
        <f>200*(INDEX(profile_C!$D$6:$D$17, MATCH(E53, profile_C!$C$6:$C$17, 0)))/SQRT(Input_disp_check!$C$6)</f>
        <v>603.02268915552713</v>
      </c>
      <c r="P53" s="73">
        <f>138000/(E53/((INDEX(profile_C!$D$6:$D$17, MATCH(E53, profile_C!$C$6:$C$17, 0)))*(INDEX(profile_C!$F$6:$F$17, MATCH(E53, profile_C!$C$6:$C$17, 0))))*Input_disp_check!$C$6)</f>
        <v>1881.818181818182</v>
      </c>
      <c r="Q53" s="74">
        <f t="shared" si="150"/>
        <v>603.02268915552713</v>
      </c>
      <c r="R53" s="73">
        <f>INDEX(profile_C!$I$6:$I$17, MATCH(E53, profile_C!$C$6:$C$17, 0))</f>
        <v>13.250080820302504</v>
      </c>
      <c r="S53" s="73">
        <f t="shared" si="151"/>
        <v>37.735618882706923</v>
      </c>
      <c r="T53" s="73">
        <f>(703.3*1000*V53/Input_disp_check!$C$6)^0.5</f>
        <v>50.571281825306201</v>
      </c>
      <c r="U53" s="73">
        <f>(3516*1000*V53/Input_disp_check!$C$6)^0.5</f>
        <v>113.07278428275544</v>
      </c>
      <c r="V53" s="77">
        <v>1</v>
      </c>
      <c r="W53" s="71">
        <f>MIN(0.66*Input_disp_check!$C$6, 0.55*Input_disp_check!$C$7)</f>
        <v>181.5</v>
      </c>
      <c r="X53" s="179"/>
      <c r="Y53" s="179"/>
      <c r="Z53" s="73">
        <f>MIN((82740*V53)/(C53*E53/INDEX(profile_C!$U$6:$U$17, MATCH(E53, profile_C!$C$6:$C$17, 0))), 0.6*Input_disp_check!$C$6)</f>
        <v>165</v>
      </c>
      <c r="AA53" s="71">
        <f t="shared" si="152"/>
        <v>165</v>
      </c>
      <c r="AB53" s="74">
        <f t="shared" si="153"/>
        <v>181.5</v>
      </c>
      <c r="AC53" s="73">
        <f>(INDEX(Input_disp_check!$P$65:$P$80, MATCH(B53,Input_disp_check!$B$65:$B$80,0)))/INDEX(profile_C!$K$6:$K$17,MATCH(E53, profile_C!$C$6:$C$17, 0))</f>
        <v>58.683410904255318</v>
      </c>
      <c r="AD53" s="75">
        <f>(INDEX(Input_disp_check!$N$65:$N$80, MATCH(B53,Input_disp_check!$B$65:$B$80,0)))/INDEX(profile_C!$K$6:$K$17,MATCH(E53, profile_C!$C$6:$C$17, 0))</f>
        <v>39.12227393617021</v>
      </c>
      <c r="AE53" s="180">
        <f>0.6*Input_disp_check!$C$6</f>
        <v>165</v>
      </c>
      <c r="AF53" s="79">
        <f>(INDEX(Input_disp_check!$Q$65:$Q$80, MATCH(B53,Input_disp_check!$B$65:$B$80,0)))/INDEX(profile_C!$N$6:$N$17, MATCH(E53, profile_C!$C$6:$C$17, 0))</f>
        <v>65.203789893617028</v>
      </c>
      <c r="AG53" s="80">
        <f>12*PI()^2*Input_disp_check!$C$8/(23*(G53*C53/INDEX(profile_C!$L$6:$L$17, MATCH(E53, profile_C!$C$6:$C$17, 0)))^2)</f>
        <v>1704.3291172735903</v>
      </c>
      <c r="AH53" s="81">
        <f>12*PI()^2*Input_disp_check!$C$8/(23*(G53*C53/INDEX(profile_C!$O$6:$O$17, MATCH(E53, profile_C!$C$6:$C$17, 0)))^2)</f>
        <v>236.86226665203586</v>
      </c>
      <c r="AI53" s="82">
        <v>0.85</v>
      </c>
      <c r="AJ53" s="83">
        <f t="shared" si="154"/>
        <v>0.55814571118480538</v>
      </c>
      <c r="AK53" s="83">
        <f>(M53/(0.6*Input_disp_check!$C$6))+(AD53/AB53)+(AF53/AE53)</f>
        <v>0.6356546736758627</v>
      </c>
      <c r="AL53" s="83">
        <f t="shared" si="155"/>
        <v>0.64337450231707005</v>
      </c>
      <c r="AM53" s="169">
        <f t="shared" si="156"/>
        <v>0.64337450231707005</v>
      </c>
      <c r="AN53" s="156" t="str">
        <f t="shared" si="157"/>
        <v>OK</v>
      </c>
      <c r="AO53" s="83">
        <f t="shared" si="158"/>
        <v>0.30814110872203904</v>
      </c>
      <c r="AP53" s="83">
        <f>(M53/(0.6*Input_disp_check!$C$6))+(AC53/AB53)</f>
        <v>0.34825504880041575</v>
      </c>
      <c r="AQ53" s="83">
        <f t="shared" si="159"/>
        <v>0.35597487744162309</v>
      </c>
      <c r="AR53" s="169">
        <f t="shared" si="160"/>
        <v>0.35597487744162309</v>
      </c>
      <c r="AS53" s="157" t="str">
        <f t="shared" si="161"/>
        <v>OK</v>
      </c>
      <c r="AT53" s="78">
        <f>MIN(0.4*Input_disp_check!$C$6,0.33*Input_disp_check!$C$7)</f>
        <v>110</v>
      </c>
      <c r="AU53" s="86">
        <f>(INDEX(Input_disp_check!$I$65:$I$80, MATCH(B53,Input_disp_check!$B$65:$B$80,0)))/INDEX(profile_C!$T$6:$T$17, MATCH(E53, profile_C!$C$6:$C$17, 0))</f>
        <v>9.8066499999999994</v>
      </c>
      <c r="AV53" s="169">
        <f t="shared" si="162"/>
        <v>8.9151363636363626E-2</v>
      </c>
      <c r="AW53" s="157" t="str">
        <f t="shared" si="163"/>
        <v>OK</v>
      </c>
      <c r="AX53" s="52"/>
      <c r="AY53" s="219" t="s">
        <v>223</v>
      </c>
      <c r="AZ53" s="214"/>
      <c r="BA53" s="214"/>
      <c r="BB53" s="10"/>
      <c r="BC53" s="10"/>
      <c r="BD53" s="10"/>
    </row>
    <row r="54" spans="2:56" s="12" customFormat="1" ht="15" customHeight="1" x14ac:dyDescent="0.15">
      <c r="B54" s="97"/>
      <c r="C54" s="87"/>
      <c r="D54" s="134"/>
      <c r="E54" s="135"/>
      <c r="F54" s="78"/>
      <c r="G54" s="137"/>
      <c r="H54" s="86"/>
      <c r="I54" s="86"/>
      <c r="J54" s="86"/>
      <c r="K54" s="86"/>
      <c r="L54" s="87"/>
      <c r="M54" s="79"/>
      <c r="N54" s="88"/>
      <c r="O54" s="86"/>
      <c r="P54" s="86"/>
      <c r="Q54" s="87"/>
      <c r="R54" s="86"/>
      <c r="S54" s="86"/>
      <c r="T54" s="86"/>
      <c r="U54" s="86"/>
      <c r="V54" s="82"/>
      <c r="W54" s="85"/>
      <c r="X54" s="86"/>
      <c r="Y54" s="86"/>
      <c r="Z54" s="86"/>
      <c r="AA54" s="85"/>
      <c r="AB54" s="87"/>
      <c r="AC54" s="86"/>
      <c r="AD54" s="79"/>
      <c r="AE54" s="78"/>
      <c r="AF54" s="79"/>
      <c r="AG54" s="80"/>
      <c r="AH54" s="81"/>
      <c r="AI54" s="82"/>
      <c r="AJ54" s="83"/>
      <c r="AK54" s="83"/>
      <c r="AL54" s="83"/>
      <c r="AM54" s="84"/>
      <c r="AN54" s="156"/>
      <c r="AO54" s="83"/>
      <c r="AP54" s="83"/>
      <c r="AQ54" s="83"/>
      <c r="AR54" s="84"/>
      <c r="AS54" s="157"/>
      <c r="AT54" s="78"/>
      <c r="AU54" s="86"/>
      <c r="AV54" s="84"/>
      <c r="AW54" s="157"/>
      <c r="AX54" s="52"/>
      <c r="AY54" s="10"/>
      <c r="AZ54" s="10"/>
      <c r="BA54" s="10"/>
      <c r="BB54" s="10"/>
      <c r="BC54" s="10"/>
      <c r="BD54" s="10"/>
    </row>
    <row r="55" spans="2:56" s="12" customFormat="1" ht="15" customHeight="1" thickBot="1" x14ac:dyDescent="0.2">
      <c r="B55" s="31"/>
      <c r="C55" s="32"/>
      <c r="D55" s="33"/>
      <c r="E55" s="34"/>
      <c r="F55" s="35"/>
      <c r="G55" s="36"/>
      <c r="H55" s="37"/>
      <c r="I55" s="37"/>
      <c r="J55" s="37"/>
      <c r="K55" s="37"/>
      <c r="L55" s="38"/>
      <c r="M55" s="39"/>
      <c r="N55" s="40"/>
      <c r="O55" s="37"/>
      <c r="P55" s="37"/>
      <c r="Q55" s="38"/>
      <c r="R55" s="37"/>
      <c r="S55" s="37"/>
      <c r="T55" s="37"/>
      <c r="U55" s="37"/>
      <c r="V55" s="41"/>
      <c r="W55" s="32"/>
      <c r="X55" s="37"/>
      <c r="Y55" s="37"/>
      <c r="Z55" s="37"/>
      <c r="AA55" s="32"/>
      <c r="AB55" s="37"/>
      <c r="AC55" s="44"/>
      <c r="AD55" s="39"/>
      <c r="AE55" s="35"/>
      <c r="AF55" s="39"/>
      <c r="AG55" s="31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3"/>
      <c r="AT55" s="35"/>
      <c r="AU55" s="37"/>
      <c r="AV55" s="44"/>
      <c r="AW55" s="45"/>
      <c r="AY55" s="10"/>
      <c r="AZ55" s="10"/>
      <c r="BA55" s="10"/>
      <c r="BB55" s="10"/>
      <c r="BC55" s="10"/>
      <c r="BD55" s="10"/>
    </row>
    <row r="56" spans="2:56" s="12" customFormat="1" ht="15" customHeight="1" x14ac:dyDescent="0.15">
      <c r="C56" s="18"/>
      <c r="D56" s="19"/>
      <c r="E56" s="20"/>
      <c r="AY56" s="10"/>
      <c r="AZ56" s="10"/>
      <c r="BA56" s="10"/>
      <c r="BB56" s="10"/>
      <c r="BC56" s="10"/>
      <c r="BD56" s="10"/>
    </row>
    <row r="57" spans="2:56" s="21" customFormat="1" ht="15" customHeight="1" x14ac:dyDescent="0.15">
      <c r="B57" s="98" t="s">
        <v>54</v>
      </c>
      <c r="C57" s="98"/>
      <c r="D57" s="126"/>
      <c r="E57" s="126"/>
      <c r="F57" s="127"/>
      <c r="G57" s="127"/>
      <c r="H57" s="127"/>
      <c r="I57" s="127"/>
      <c r="J57" s="127"/>
      <c r="K57" s="127"/>
      <c r="L57" s="98"/>
      <c r="M57" s="98"/>
      <c r="N57" s="98"/>
      <c r="O57" s="98"/>
      <c r="P57" s="98"/>
      <c r="AY57" s="10"/>
      <c r="AZ57" s="10"/>
      <c r="BA57" s="10"/>
      <c r="BB57" s="10"/>
      <c r="BC57" s="10"/>
      <c r="BD57" s="10"/>
    </row>
    <row r="58" spans="2:56" s="21" customFormat="1" ht="15" customHeight="1" x14ac:dyDescent="0.15">
      <c r="B58" s="128" t="s">
        <v>55</v>
      </c>
      <c r="C58" s="98" t="s">
        <v>216</v>
      </c>
      <c r="D58" s="126"/>
      <c r="E58" s="126"/>
      <c r="F58" s="127"/>
      <c r="G58" s="127"/>
      <c r="H58" s="127"/>
      <c r="I58" s="127"/>
      <c r="J58" s="127"/>
      <c r="K58" s="127"/>
      <c r="L58" s="98"/>
      <c r="M58" s="98"/>
      <c r="N58" s="98"/>
      <c r="O58" s="98"/>
      <c r="P58" s="98"/>
      <c r="AY58" s="10"/>
      <c r="AZ58" s="10"/>
      <c r="BA58" s="10"/>
      <c r="BB58" s="10"/>
      <c r="BC58" s="10"/>
      <c r="BD58" s="10"/>
    </row>
    <row r="59" spans="2:56" s="21" customFormat="1" ht="15" customHeight="1" x14ac:dyDescent="0.15">
      <c r="B59" s="128" t="s">
        <v>56</v>
      </c>
      <c r="C59" s="98" t="s">
        <v>167</v>
      </c>
      <c r="D59" s="126"/>
      <c r="E59" s="126"/>
      <c r="F59" s="127"/>
      <c r="G59" s="127"/>
      <c r="H59" s="127"/>
      <c r="I59" s="127"/>
      <c r="J59" s="127"/>
      <c r="K59" s="127"/>
      <c r="L59" s="98"/>
      <c r="M59" s="98"/>
      <c r="N59" s="98"/>
      <c r="O59" s="98"/>
      <c r="P59" s="98"/>
      <c r="AY59" s="10"/>
      <c r="AZ59" s="10"/>
      <c r="BA59" s="10"/>
      <c r="BB59" s="10"/>
      <c r="BC59" s="10"/>
      <c r="BD59" s="10"/>
    </row>
    <row r="60" spans="2:56" s="21" customFormat="1" ht="15" customHeight="1" x14ac:dyDescent="0.15">
      <c r="B60" s="128" t="s">
        <v>57</v>
      </c>
      <c r="C60" s="98" t="s">
        <v>169</v>
      </c>
      <c r="D60" s="126"/>
      <c r="E60" s="126"/>
      <c r="F60" s="127"/>
      <c r="G60" s="127"/>
      <c r="H60" s="127"/>
      <c r="I60" s="127"/>
      <c r="J60" s="127"/>
      <c r="K60" s="127"/>
      <c r="L60" s="98"/>
      <c r="M60" s="98"/>
      <c r="N60" s="98"/>
      <c r="O60" s="98"/>
      <c r="P60" s="98"/>
      <c r="AY60" s="10"/>
      <c r="AZ60" s="10"/>
      <c r="BA60" s="10"/>
      <c r="BB60" s="10"/>
      <c r="BC60" s="10"/>
      <c r="BD60" s="10"/>
    </row>
    <row r="61" spans="2:56" s="21" customFormat="1" ht="15" customHeight="1" x14ac:dyDescent="0.15">
      <c r="B61" s="128" t="s">
        <v>58</v>
      </c>
      <c r="C61" s="98" t="s">
        <v>175</v>
      </c>
      <c r="D61" s="126"/>
      <c r="E61" s="126"/>
      <c r="F61" s="127"/>
      <c r="G61" s="127"/>
      <c r="H61" s="127"/>
      <c r="I61" s="127"/>
      <c r="J61" s="127"/>
      <c r="K61" s="127"/>
      <c r="L61" s="98"/>
      <c r="M61" s="98"/>
      <c r="N61" s="98"/>
      <c r="O61" s="98"/>
      <c r="P61" s="98"/>
      <c r="AY61" s="10"/>
      <c r="AZ61" s="10"/>
      <c r="BA61" s="10"/>
      <c r="BB61" s="10"/>
      <c r="BC61" s="10"/>
      <c r="BD61" s="10"/>
    </row>
    <row r="62" spans="2:56" s="21" customFormat="1" ht="15" customHeight="1" x14ac:dyDescent="0.15">
      <c r="B62" s="128" t="s">
        <v>59</v>
      </c>
      <c r="C62" s="98" t="s">
        <v>168</v>
      </c>
      <c r="D62" s="126"/>
      <c r="E62" s="126"/>
      <c r="F62" s="127"/>
      <c r="G62" s="127"/>
      <c r="H62" s="127"/>
      <c r="I62" s="127"/>
      <c r="J62" s="127"/>
      <c r="K62" s="127"/>
      <c r="L62" s="98"/>
      <c r="M62" s="98"/>
      <c r="N62" s="98"/>
      <c r="O62" s="98"/>
      <c r="P62" s="98"/>
      <c r="Z62" s="89"/>
      <c r="AY62" s="10"/>
      <c r="AZ62" s="10"/>
      <c r="BA62" s="10"/>
      <c r="BB62" s="10"/>
      <c r="BC62" s="10"/>
      <c r="BD62" s="10"/>
    </row>
    <row r="63" spans="2:56" s="23" customFormat="1" ht="15" customHeight="1" x14ac:dyDescent="0.25">
      <c r="B63" s="128" t="s">
        <v>60</v>
      </c>
      <c r="C63" s="129" t="s">
        <v>165</v>
      </c>
      <c r="D63" s="129"/>
      <c r="E63" s="129"/>
      <c r="F63" s="127"/>
      <c r="G63" s="127"/>
      <c r="H63" s="127"/>
      <c r="I63" s="127"/>
      <c r="J63" s="127"/>
      <c r="K63" s="127"/>
      <c r="L63" s="129"/>
      <c r="M63" s="129"/>
      <c r="N63" s="129"/>
      <c r="O63" s="129"/>
      <c r="P63" s="129"/>
      <c r="AY63" s="24"/>
      <c r="AZ63" s="24"/>
      <c r="BA63" s="24"/>
      <c r="BB63" s="24"/>
      <c r="BC63" s="24"/>
      <c r="BD63" s="24"/>
    </row>
    <row r="64" spans="2:56" s="21" customFormat="1" ht="15" customHeight="1" x14ac:dyDescent="0.15">
      <c r="B64" s="128" t="s">
        <v>172</v>
      </c>
      <c r="C64" s="98" t="s">
        <v>166</v>
      </c>
      <c r="D64" s="126"/>
      <c r="E64" s="126"/>
      <c r="F64" s="127"/>
      <c r="G64" s="127"/>
      <c r="H64" s="127"/>
      <c r="I64" s="127"/>
      <c r="J64" s="127"/>
      <c r="K64" s="127"/>
      <c r="L64" s="98"/>
      <c r="M64" s="98"/>
      <c r="N64" s="98"/>
      <c r="O64" s="98"/>
      <c r="P64" s="98"/>
      <c r="AC64" s="99"/>
      <c r="AY64" s="10"/>
      <c r="AZ64" s="10"/>
      <c r="BA64" s="10"/>
      <c r="BB64" s="10"/>
      <c r="BC64" s="10"/>
      <c r="BD64" s="10"/>
    </row>
    <row r="65" spans="2:56" s="21" customFormat="1" ht="15" customHeight="1" x14ac:dyDescent="0.15">
      <c r="B65" s="128" t="s">
        <v>61</v>
      </c>
      <c r="C65" s="98" t="s">
        <v>170</v>
      </c>
      <c r="D65" s="126"/>
      <c r="E65" s="126"/>
      <c r="F65" s="127"/>
      <c r="G65" s="127"/>
      <c r="H65" s="127"/>
      <c r="I65" s="127"/>
      <c r="J65" s="127"/>
      <c r="K65" s="127"/>
      <c r="L65" s="98"/>
      <c r="M65" s="98"/>
      <c r="N65" s="98"/>
      <c r="O65" s="98"/>
      <c r="P65" s="98"/>
      <c r="AC65" s="99"/>
      <c r="AY65" s="10"/>
      <c r="AZ65" s="10"/>
      <c r="BA65" s="10"/>
      <c r="BB65" s="10"/>
      <c r="BC65" s="10"/>
      <c r="BD65" s="10"/>
    </row>
    <row r="66" spans="2:56" s="23" customFormat="1" ht="15" customHeight="1" x14ac:dyDescent="0.25">
      <c r="B66" s="128" t="s">
        <v>62</v>
      </c>
      <c r="C66" s="129" t="s">
        <v>171</v>
      </c>
      <c r="D66" s="129"/>
      <c r="E66" s="129"/>
      <c r="F66" s="127"/>
      <c r="G66" s="127"/>
      <c r="H66" s="127"/>
      <c r="I66" s="127"/>
      <c r="J66" s="127"/>
      <c r="K66" s="127"/>
      <c r="L66" s="129"/>
      <c r="M66" s="129"/>
      <c r="N66" s="129"/>
      <c r="O66" s="129"/>
      <c r="P66" s="129"/>
      <c r="AC66" s="276"/>
      <c r="AD66" s="276"/>
      <c r="AY66" s="24"/>
      <c r="AZ66" s="24"/>
      <c r="BA66" s="24"/>
      <c r="BB66" s="24"/>
      <c r="BC66" s="24"/>
      <c r="BD66" s="24"/>
    </row>
    <row r="67" spans="2:56" s="23" customFormat="1" ht="15" customHeight="1" x14ac:dyDescent="0.25">
      <c r="B67" s="128" t="s">
        <v>173</v>
      </c>
      <c r="C67" s="129" t="s">
        <v>174</v>
      </c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AY67" s="24"/>
      <c r="AZ67" s="24"/>
      <c r="BA67" s="24"/>
      <c r="BB67" s="24"/>
      <c r="BC67" s="24"/>
      <c r="BD67" s="24"/>
    </row>
    <row r="68" spans="2:56" s="23" customFormat="1" ht="15" customHeight="1" x14ac:dyDescent="0.25">
      <c r="B68" s="128" t="s">
        <v>211</v>
      </c>
      <c r="C68" s="98" t="s">
        <v>212</v>
      </c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AC68" s="277"/>
      <c r="AD68" s="277"/>
      <c r="AY68" s="24"/>
      <c r="AZ68" s="24"/>
      <c r="BA68" s="24"/>
      <c r="BB68" s="24"/>
      <c r="BC68" s="24"/>
      <c r="BD68" s="24"/>
    </row>
    <row r="69" spans="2:56" s="23" customFormat="1" ht="15" customHeight="1" x14ac:dyDescent="0.25">
      <c r="B69" s="128" t="s">
        <v>215</v>
      </c>
      <c r="C69" s="98" t="s">
        <v>217</v>
      </c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AY69" s="24"/>
      <c r="AZ69" s="24"/>
      <c r="BA69" s="24"/>
      <c r="BB69" s="24"/>
      <c r="BC69" s="24"/>
      <c r="BD69" s="24"/>
    </row>
    <row r="70" spans="2:56" s="23" customFormat="1" ht="15" customHeight="1" x14ac:dyDescent="0.25">
      <c r="B70" s="128"/>
      <c r="C70" s="98" t="s">
        <v>218</v>
      </c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AY70" s="24"/>
      <c r="AZ70" s="24"/>
      <c r="BA70" s="24"/>
      <c r="BB70" s="24"/>
      <c r="BC70" s="24"/>
      <c r="BD70" s="24"/>
    </row>
    <row r="71" spans="2:56" s="23" customFormat="1" ht="15" customHeight="1" x14ac:dyDescent="0.2">
      <c r="B71" s="22"/>
      <c r="AY71" s="24"/>
      <c r="AZ71" s="24"/>
      <c r="BA71" s="24"/>
      <c r="BB71" s="24"/>
      <c r="BC71" s="24"/>
      <c r="BD71" s="24"/>
    </row>
    <row r="72" spans="2:56" s="23" customFormat="1" ht="15" customHeight="1" x14ac:dyDescent="0.2">
      <c r="B72" s="22"/>
      <c r="AY72" s="24"/>
      <c r="AZ72" s="24"/>
      <c r="BA72" s="24"/>
      <c r="BB72" s="24"/>
      <c r="BC72" s="24"/>
      <c r="BD72" s="24"/>
    </row>
    <row r="73" spans="2:56" ht="15" customHeight="1" x14ac:dyDescent="0.2">
      <c r="B73" s="24"/>
      <c r="C73" s="24"/>
      <c r="D73" s="25"/>
      <c r="E73" s="25"/>
      <c r="P73" s="178"/>
    </row>
    <row r="74" spans="2:56" ht="15" customHeight="1" x14ac:dyDescent="0.2">
      <c r="B74" s="24"/>
      <c r="C74" s="24"/>
      <c r="D74" s="25"/>
      <c r="E74" s="25"/>
    </row>
    <row r="75" spans="2:56" ht="15" customHeight="1" x14ac:dyDescent="0.2">
      <c r="B75" s="24"/>
      <c r="C75" s="24"/>
      <c r="D75" s="25"/>
      <c r="E75" s="25"/>
    </row>
    <row r="76" spans="2:56" ht="15" customHeight="1" x14ac:dyDescent="0.2">
      <c r="B76" s="24"/>
      <c r="C76" s="24"/>
      <c r="D76" s="25"/>
      <c r="E76" s="25"/>
    </row>
    <row r="77" spans="2:56" ht="15" customHeight="1" x14ac:dyDescent="0.2">
      <c r="B77" s="24"/>
      <c r="C77" s="24"/>
      <c r="D77" s="25"/>
      <c r="E77" s="25"/>
    </row>
    <row r="78" spans="2:56" ht="15" customHeight="1" x14ac:dyDescent="0.2">
      <c r="B78" s="24"/>
      <c r="C78" s="24"/>
      <c r="D78" s="25"/>
      <c r="E78" s="25"/>
    </row>
    <row r="79" spans="2:56" ht="15" customHeight="1" x14ac:dyDescent="0.2">
      <c r="B79" s="24"/>
      <c r="C79" s="24"/>
      <c r="D79" s="25"/>
      <c r="E79" s="25"/>
    </row>
    <row r="80" spans="2:56" ht="15" customHeight="1" x14ac:dyDescent="0.2">
      <c r="B80" s="24"/>
      <c r="C80" s="24"/>
      <c r="D80" s="25"/>
      <c r="E80" s="25"/>
    </row>
    <row r="81" spans="2:5" ht="15" customHeight="1" x14ac:dyDescent="0.2">
      <c r="B81" s="24"/>
      <c r="C81" s="24"/>
      <c r="D81" s="25"/>
      <c r="E81" s="25"/>
    </row>
    <row r="82" spans="2:5" ht="15" customHeight="1" x14ac:dyDescent="0.2">
      <c r="B82" s="24"/>
      <c r="C82" s="24"/>
      <c r="D82" s="25"/>
      <c r="E82" s="25"/>
    </row>
    <row r="83" spans="2:5" ht="15" customHeight="1" x14ac:dyDescent="0.2">
      <c r="B83" s="24"/>
      <c r="C83" s="24"/>
      <c r="D83" s="25"/>
      <c r="E83" s="25"/>
    </row>
    <row r="84" spans="2:5" ht="15" customHeight="1" x14ac:dyDescent="0.2">
      <c r="B84" s="24"/>
      <c r="C84" s="24"/>
      <c r="D84" s="25"/>
      <c r="E84" s="25"/>
    </row>
    <row r="85" spans="2:5" ht="15" customHeight="1" x14ac:dyDescent="0.2">
      <c r="B85" s="24"/>
      <c r="C85" s="24"/>
      <c r="D85" s="25"/>
      <c r="E85" s="25"/>
    </row>
    <row r="86" spans="2:5" ht="15" customHeight="1" x14ac:dyDescent="0.2">
      <c r="B86" s="24"/>
      <c r="C86" s="24"/>
      <c r="D86" s="25"/>
      <c r="E86" s="25"/>
    </row>
    <row r="87" spans="2:5" ht="15" customHeight="1" x14ac:dyDescent="0.2">
      <c r="B87" s="24"/>
      <c r="C87" s="24"/>
      <c r="D87" s="25"/>
      <c r="E87" s="25"/>
    </row>
    <row r="88" spans="2:5" ht="15" customHeight="1" x14ac:dyDescent="0.2">
      <c r="B88" s="24"/>
      <c r="C88" s="24"/>
      <c r="D88" s="25"/>
      <c r="E88" s="25"/>
    </row>
    <row r="89" spans="2:5" ht="15" customHeight="1" x14ac:dyDescent="0.2">
      <c r="B89" s="24"/>
      <c r="C89" s="24"/>
      <c r="D89" s="25"/>
      <c r="E89" s="25"/>
    </row>
    <row r="90" spans="2:5" ht="15" customHeight="1" x14ac:dyDescent="0.2">
      <c r="B90" s="24"/>
      <c r="C90" s="24"/>
      <c r="D90" s="25"/>
      <c r="E90" s="25"/>
    </row>
    <row r="91" spans="2:5" ht="15" customHeight="1" x14ac:dyDescent="0.2">
      <c r="B91" s="24"/>
      <c r="C91" s="24"/>
      <c r="D91" s="25"/>
      <c r="E91" s="25"/>
    </row>
    <row r="92" spans="2:5" ht="15" customHeight="1" x14ac:dyDescent="0.2">
      <c r="B92" s="24"/>
      <c r="C92" s="24"/>
      <c r="D92" s="25"/>
      <c r="E92" s="25"/>
    </row>
    <row r="93" spans="2:5" ht="15" customHeight="1" x14ac:dyDescent="0.2">
      <c r="B93" s="24"/>
      <c r="C93" s="24"/>
      <c r="D93" s="25"/>
      <c r="E93" s="25"/>
    </row>
    <row r="94" spans="2:5" ht="15" customHeight="1" x14ac:dyDescent="0.2">
      <c r="B94" s="24"/>
      <c r="C94" s="24"/>
      <c r="D94" s="25"/>
      <c r="E94" s="25"/>
    </row>
    <row r="95" spans="2:5" ht="15" customHeight="1" x14ac:dyDescent="0.2">
      <c r="B95" s="24"/>
      <c r="C95" s="24"/>
      <c r="D95" s="25"/>
      <c r="E95" s="25"/>
    </row>
    <row r="96" spans="2:5" ht="15" customHeight="1" x14ac:dyDescent="0.2">
      <c r="B96" s="24"/>
      <c r="C96" s="24"/>
      <c r="D96" s="25"/>
      <c r="E96" s="25"/>
    </row>
    <row r="97" spans="2:5" ht="15" customHeight="1" x14ac:dyDescent="0.2">
      <c r="B97" s="24"/>
      <c r="C97" s="24"/>
      <c r="D97" s="25"/>
      <c r="E97" s="25"/>
    </row>
    <row r="98" spans="2:5" ht="15" customHeight="1" x14ac:dyDescent="0.2">
      <c r="B98" s="24"/>
      <c r="C98" s="24"/>
      <c r="D98" s="25"/>
      <c r="E98" s="25"/>
    </row>
    <row r="99" spans="2:5" ht="15" customHeight="1" x14ac:dyDescent="0.2">
      <c r="B99" s="24"/>
      <c r="C99" s="24"/>
      <c r="D99" s="25"/>
      <c r="E99" s="25"/>
    </row>
    <row r="100" spans="2:5" ht="15" customHeight="1" x14ac:dyDescent="0.2">
      <c r="B100" s="24"/>
      <c r="C100" s="24"/>
      <c r="D100" s="25"/>
      <c r="E100" s="25"/>
    </row>
    <row r="101" spans="2:5" ht="15" customHeight="1" x14ac:dyDescent="0.2">
      <c r="B101" s="24"/>
      <c r="C101" s="24"/>
      <c r="D101" s="25"/>
      <c r="E101" s="25"/>
    </row>
    <row r="102" spans="2:5" ht="15" customHeight="1" x14ac:dyDescent="0.2">
      <c r="B102" s="24"/>
      <c r="C102" s="24"/>
      <c r="D102" s="25"/>
      <c r="E102" s="25"/>
    </row>
    <row r="103" spans="2:5" ht="15" customHeight="1" x14ac:dyDescent="0.2">
      <c r="B103" s="24"/>
      <c r="C103" s="24"/>
      <c r="D103" s="25"/>
      <c r="E103" s="25"/>
    </row>
    <row r="104" spans="2:5" ht="15" customHeight="1" x14ac:dyDescent="0.2">
      <c r="B104" s="24"/>
      <c r="C104" s="24"/>
      <c r="D104" s="25"/>
      <c r="E104" s="25"/>
    </row>
    <row r="105" spans="2:5" ht="15" customHeight="1" x14ac:dyDescent="0.2">
      <c r="B105" s="24"/>
      <c r="C105" s="24"/>
      <c r="D105" s="25"/>
      <c r="E105" s="25"/>
    </row>
    <row r="106" spans="2:5" ht="15" customHeight="1" x14ac:dyDescent="0.2">
      <c r="B106" s="24"/>
      <c r="C106" s="24"/>
      <c r="D106" s="25"/>
      <c r="E106" s="25"/>
    </row>
    <row r="107" spans="2:5" ht="15" customHeight="1" x14ac:dyDescent="0.2">
      <c r="B107" s="24"/>
      <c r="C107" s="24"/>
      <c r="D107" s="25"/>
      <c r="E107" s="25"/>
    </row>
    <row r="108" spans="2:5" ht="15" customHeight="1" x14ac:dyDescent="0.2">
      <c r="B108" s="24"/>
      <c r="C108" s="24"/>
      <c r="D108" s="25"/>
      <c r="E108" s="25"/>
    </row>
    <row r="109" spans="2:5" ht="15" customHeight="1" x14ac:dyDescent="0.2">
      <c r="B109" s="24"/>
      <c r="C109" s="24"/>
      <c r="D109" s="25"/>
      <c r="E109" s="25"/>
    </row>
    <row r="110" spans="2:5" ht="15" customHeight="1" x14ac:dyDescent="0.2">
      <c r="B110" s="24"/>
      <c r="C110" s="24"/>
      <c r="D110" s="25"/>
      <c r="E110" s="25"/>
    </row>
    <row r="111" spans="2:5" ht="15" customHeight="1" x14ac:dyDescent="0.2">
      <c r="B111" s="24"/>
      <c r="C111" s="24"/>
      <c r="D111" s="25"/>
      <c r="E111" s="25"/>
    </row>
    <row r="112" spans="2:5" ht="15" customHeight="1" x14ac:dyDescent="0.2">
      <c r="B112" s="24"/>
      <c r="C112" s="24"/>
      <c r="D112" s="25"/>
      <c r="E112" s="25"/>
    </row>
    <row r="113" spans="2:5" ht="15" customHeight="1" x14ac:dyDescent="0.2">
      <c r="B113" s="24"/>
      <c r="C113" s="24"/>
      <c r="D113" s="25"/>
      <c r="E113" s="25"/>
    </row>
    <row r="114" spans="2:5" ht="15" customHeight="1" x14ac:dyDescent="0.2">
      <c r="B114" s="24"/>
      <c r="C114" s="24"/>
      <c r="D114" s="25"/>
      <c r="E114" s="25"/>
    </row>
    <row r="115" spans="2:5" ht="15" customHeight="1" x14ac:dyDescent="0.2">
      <c r="B115" s="24"/>
      <c r="C115" s="24"/>
      <c r="D115" s="25"/>
      <c r="E115" s="25"/>
    </row>
    <row r="116" spans="2:5" ht="15" customHeight="1" x14ac:dyDescent="0.2">
      <c r="B116" s="24"/>
      <c r="C116" s="24"/>
      <c r="D116" s="25"/>
      <c r="E116" s="25"/>
    </row>
    <row r="117" spans="2:5" ht="15" customHeight="1" x14ac:dyDescent="0.2">
      <c r="B117" s="24"/>
      <c r="C117" s="24"/>
      <c r="D117" s="25"/>
      <c r="E117" s="25"/>
    </row>
    <row r="118" spans="2:5" ht="15" customHeight="1" x14ac:dyDescent="0.2">
      <c r="B118" s="24"/>
      <c r="C118" s="24"/>
      <c r="D118" s="25"/>
      <c r="E118" s="25"/>
    </row>
    <row r="119" spans="2:5" ht="15" customHeight="1" x14ac:dyDescent="0.2">
      <c r="B119" s="24"/>
      <c r="C119" s="24"/>
      <c r="D119" s="25"/>
      <c r="E119" s="25"/>
    </row>
    <row r="120" spans="2:5" ht="15" customHeight="1" x14ac:dyDescent="0.2">
      <c r="B120" s="24"/>
      <c r="C120" s="24"/>
      <c r="D120" s="25"/>
      <c r="E120" s="25"/>
    </row>
    <row r="121" spans="2:5" ht="15" customHeight="1" x14ac:dyDescent="0.2">
      <c r="B121" s="24"/>
      <c r="C121" s="24"/>
      <c r="D121" s="25"/>
      <c r="E121" s="25"/>
    </row>
    <row r="122" spans="2:5" ht="15" customHeight="1" x14ac:dyDescent="0.2">
      <c r="B122" s="24"/>
      <c r="C122" s="24"/>
      <c r="D122" s="25"/>
      <c r="E122" s="25"/>
    </row>
    <row r="123" spans="2:5" ht="15" customHeight="1" x14ac:dyDescent="0.2">
      <c r="B123" s="24"/>
      <c r="C123" s="24"/>
      <c r="D123" s="25"/>
      <c r="E123" s="25"/>
    </row>
    <row r="124" spans="2:5" ht="15" customHeight="1" x14ac:dyDescent="0.2">
      <c r="B124" s="24"/>
      <c r="C124" s="24"/>
      <c r="D124" s="25"/>
      <c r="E124" s="25"/>
    </row>
    <row r="125" spans="2:5" ht="15" customHeight="1" x14ac:dyDescent="0.2">
      <c r="B125" s="24"/>
      <c r="C125" s="24"/>
      <c r="D125" s="25"/>
      <c r="E125" s="25"/>
    </row>
    <row r="126" spans="2:5" ht="15" customHeight="1" x14ac:dyDescent="0.2">
      <c r="B126" s="24"/>
      <c r="C126" s="24"/>
      <c r="D126" s="25"/>
      <c r="E126" s="25"/>
    </row>
    <row r="127" spans="2:5" ht="15" customHeight="1" x14ac:dyDescent="0.2">
      <c r="B127" s="24"/>
      <c r="C127" s="24"/>
      <c r="D127" s="25"/>
      <c r="E127" s="25"/>
    </row>
    <row r="128" spans="2:5" ht="15" customHeight="1" x14ac:dyDescent="0.2">
      <c r="B128" s="24"/>
      <c r="C128" s="24"/>
      <c r="D128" s="25"/>
      <c r="E128" s="25"/>
    </row>
    <row r="129" spans="2:5" ht="15" customHeight="1" x14ac:dyDescent="0.2">
      <c r="B129" s="24"/>
      <c r="C129" s="24"/>
      <c r="D129" s="25"/>
      <c r="E129" s="25"/>
    </row>
    <row r="130" spans="2:5" ht="15" customHeight="1" x14ac:dyDescent="0.2">
      <c r="B130" s="24"/>
      <c r="C130" s="24"/>
      <c r="D130" s="25"/>
      <c r="E130" s="25"/>
    </row>
    <row r="131" spans="2:5" ht="15" customHeight="1" x14ac:dyDescent="0.2">
      <c r="B131" s="24"/>
      <c r="C131" s="24"/>
      <c r="D131" s="25"/>
      <c r="E131" s="25"/>
    </row>
    <row r="132" spans="2:5" ht="15" customHeight="1" x14ac:dyDescent="0.2">
      <c r="B132" s="24"/>
      <c r="C132" s="24"/>
      <c r="D132" s="25"/>
      <c r="E132" s="25"/>
    </row>
    <row r="133" spans="2:5" ht="15" customHeight="1" x14ac:dyDescent="0.2">
      <c r="B133" s="24"/>
      <c r="C133" s="24"/>
      <c r="D133" s="25"/>
      <c r="E133" s="25"/>
    </row>
    <row r="134" spans="2:5" ht="15" customHeight="1" x14ac:dyDescent="0.2">
      <c r="B134" s="24"/>
      <c r="C134" s="24"/>
      <c r="D134" s="25"/>
      <c r="E134" s="25"/>
    </row>
    <row r="135" spans="2:5" ht="15" customHeight="1" x14ac:dyDescent="0.2">
      <c r="B135" s="24"/>
      <c r="C135" s="24"/>
      <c r="D135" s="25"/>
      <c r="E135" s="25"/>
    </row>
    <row r="136" spans="2:5" ht="15" customHeight="1" x14ac:dyDescent="0.2">
      <c r="B136" s="24"/>
      <c r="C136" s="24"/>
      <c r="D136" s="25"/>
      <c r="E136" s="25"/>
    </row>
    <row r="137" spans="2:5" ht="15" customHeight="1" x14ac:dyDescent="0.2">
      <c r="B137" s="24"/>
      <c r="C137" s="24"/>
      <c r="D137" s="25"/>
      <c r="E137" s="25"/>
    </row>
    <row r="138" spans="2:5" ht="15" customHeight="1" x14ac:dyDescent="0.2">
      <c r="B138" s="24"/>
      <c r="C138" s="24"/>
      <c r="D138" s="25"/>
      <c r="E138" s="25"/>
    </row>
    <row r="139" spans="2:5" ht="15" customHeight="1" x14ac:dyDescent="0.2">
      <c r="B139" s="24"/>
      <c r="C139" s="24"/>
      <c r="D139" s="25"/>
      <c r="E139" s="25"/>
    </row>
    <row r="140" spans="2:5" ht="15" customHeight="1" x14ac:dyDescent="0.2">
      <c r="B140" s="24"/>
      <c r="C140" s="24"/>
      <c r="D140" s="25"/>
      <c r="E140" s="25"/>
    </row>
    <row r="141" spans="2:5" ht="15" customHeight="1" x14ac:dyDescent="0.2">
      <c r="B141" s="24"/>
      <c r="C141" s="24"/>
      <c r="D141" s="25"/>
      <c r="E141" s="25"/>
    </row>
    <row r="142" spans="2:5" ht="15" customHeight="1" x14ac:dyDescent="0.2">
      <c r="B142" s="24"/>
      <c r="C142" s="24"/>
      <c r="D142" s="25"/>
      <c r="E142" s="25"/>
    </row>
    <row r="143" spans="2:5" ht="15" customHeight="1" x14ac:dyDescent="0.2">
      <c r="B143" s="24"/>
      <c r="C143" s="24"/>
      <c r="D143" s="25"/>
      <c r="E143" s="25"/>
    </row>
    <row r="144" spans="2:5" ht="15" customHeight="1" x14ac:dyDescent="0.2">
      <c r="B144" s="24"/>
      <c r="C144" s="24"/>
      <c r="D144" s="25"/>
      <c r="E144" s="25"/>
    </row>
    <row r="145" spans="2:5" ht="15" customHeight="1" x14ac:dyDescent="0.2">
      <c r="B145" s="24"/>
      <c r="C145" s="24"/>
      <c r="D145" s="25"/>
      <c r="E145" s="25"/>
    </row>
    <row r="146" spans="2:5" ht="15" customHeight="1" x14ac:dyDescent="0.2">
      <c r="B146" s="24"/>
      <c r="C146" s="24"/>
      <c r="D146" s="25"/>
      <c r="E146" s="25"/>
    </row>
    <row r="147" spans="2:5" ht="15" customHeight="1" x14ac:dyDescent="0.2">
      <c r="B147" s="24"/>
      <c r="C147" s="24"/>
      <c r="D147" s="25"/>
      <c r="E147" s="25"/>
    </row>
    <row r="148" spans="2:5" ht="15" customHeight="1" x14ac:dyDescent="0.2">
      <c r="B148" s="24"/>
      <c r="C148" s="24"/>
      <c r="D148" s="25"/>
      <c r="E148" s="25"/>
    </row>
    <row r="149" spans="2:5" ht="15" customHeight="1" x14ac:dyDescent="0.2">
      <c r="B149" s="24"/>
      <c r="C149" s="24"/>
      <c r="D149" s="25"/>
      <c r="E149" s="25"/>
    </row>
    <row r="150" spans="2:5" ht="15" customHeight="1" x14ac:dyDescent="0.2">
      <c r="B150" s="24"/>
      <c r="C150" s="24"/>
      <c r="D150" s="25"/>
      <c r="E150" s="25"/>
    </row>
    <row r="151" spans="2:5" ht="15" customHeight="1" x14ac:dyDescent="0.2">
      <c r="B151" s="24"/>
      <c r="C151" s="24"/>
      <c r="D151" s="25"/>
      <c r="E151" s="25"/>
    </row>
    <row r="152" spans="2:5" ht="15" customHeight="1" x14ac:dyDescent="0.2">
      <c r="B152" s="24"/>
      <c r="C152" s="24"/>
      <c r="D152" s="25"/>
      <c r="E152" s="25"/>
    </row>
    <row r="153" spans="2:5" ht="15" customHeight="1" x14ac:dyDescent="0.2">
      <c r="B153" s="24"/>
      <c r="C153" s="24"/>
      <c r="D153" s="25"/>
      <c r="E153" s="25"/>
    </row>
    <row r="154" spans="2:5" ht="15" customHeight="1" x14ac:dyDescent="0.2">
      <c r="B154" s="24"/>
      <c r="C154" s="24"/>
      <c r="D154" s="25"/>
      <c r="E154" s="25"/>
    </row>
    <row r="155" spans="2:5" ht="15" customHeight="1" x14ac:dyDescent="0.2">
      <c r="B155" s="24"/>
      <c r="C155" s="24"/>
      <c r="D155" s="25"/>
      <c r="E155" s="25"/>
    </row>
    <row r="156" spans="2:5" ht="15" customHeight="1" x14ac:dyDescent="0.2">
      <c r="B156" s="24"/>
      <c r="C156" s="24"/>
      <c r="D156" s="25"/>
      <c r="E156" s="25"/>
    </row>
    <row r="157" spans="2:5" ht="15" customHeight="1" x14ac:dyDescent="0.2">
      <c r="B157" s="24"/>
      <c r="C157" s="24"/>
      <c r="D157" s="25"/>
      <c r="E157" s="25"/>
    </row>
    <row r="158" spans="2:5" ht="15" customHeight="1" x14ac:dyDescent="0.2">
      <c r="B158" s="24"/>
      <c r="C158" s="24"/>
      <c r="D158" s="25"/>
      <c r="E158" s="25"/>
    </row>
    <row r="159" spans="2:5" ht="15" customHeight="1" x14ac:dyDescent="0.2">
      <c r="B159" s="24"/>
      <c r="C159" s="24"/>
      <c r="D159" s="25"/>
      <c r="E159" s="25"/>
    </row>
    <row r="160" spans="2:5" ht="15" customHeight="1" x14ac:dyDescent="0.2">
      <c r="B160" s="24"/>
      <c r="C160" s="24"/>
      <c r="D160" s="25"/>
      <c r="E160" s="25"/>
    </row>
    <row r="161" spans="2:5" ht="15" customHeight="1" x14ac:dyDescent="0.2">
      <c r="B161" s="24"/>
      <c r="C161" s="24"/>
      <c r="D161" s="25"/>
      <c r="E161" s="25"/>
    </row>
    <row r="162" spans="2:5" ht="15" customHeight="1" x14ac:dyDescent="0.2">
      <c r="B162" s="24"/>
      <c r="C162" s="24"/>
      <c r="D162" s="25"/>
      <c r="E162" s="25"/>
    </row>
    <row r="163" spans="2:5" ht="15" customHeight="1" x14ac:dyDescent="0.2">
      <c r="B163" s="24"/>
      <c r="C163" s="24"/>
      <c r="D163" s="25"/>
      <c r="E163" s="25"/>
    </row>
    <row r="164" spans="2:5" ht="15" customHeight="1" x14ac:dyDescent="0.2">
      <c r="B164" s="24"/>
      <c r="C164" s="24"/>
      <c r="D164" s="25"/>
      <c r="E164" s="25"/>
    </row>
    <row r="165" spans="2:5" ht="15" customHeight="1" x14ac:dyDescent="0.2">
      <c r="B165" s="24"/>
      <c r="C165" s="24"/>
      <c r="D165" s="25"/>
      <c r="E165" s="25"/>
    </row>
    <row r="166" spans="2:5" ht="15" customHeight="1" x14ac:dyDescent="0.2">
      <c r="B166" s="24"/>
      <c r="C166" s="24"/>
      <c r="D166" s="25"/>
      <c r="E166" s="25"/>
    </row>
    <row r="167" spans="2:5" ht="15" customHeight="1" x14ac:dyDescent="0.2">
      <c r="B167" s="24"/>
      <c r="C167" s="24"/>
      <c r="D167" s="25"/>
      <c r="E167" s="25"/>
    </row>
    <row r="168" spans="2:5" ht="15" customHeight="1" x14ac:dyDescent="0.2">
      <c r="B168" s="24"/>
      <c r="C168" s="24"/>
      <c r="D168" s="25"/>
      <c r="E168" s="25"/>
    </row>
    <row r="169" spans="2:5" ht="15" customHeight="1" x14ac:dyDescent="0.2">
      <c r="B169" s="24"/>
      <c r="C169" s="24"/>
      <c r="D169" s="25"/>
      <c r="E169" s="25"/>
    </row>
    <row r="170" spans="2:5" ht="15" customHeight="1" x14ac:dyDescent="0.2">
      <c r="B170" s="24"/>
      <c r="C170" s="24"/>
      <c r="D170" s="25"/>
      <c r="E170" s="25"/>
    </row>
    <row r="171" spans="2:5" ht="15" customHeight="1" x14ac:dyDescent="0.2">
      <c r="B171" s="24"/>
      <c r="C171" s="24"/>
      <c r="D171" s="25"/>
      <c r="E171" s="25"/>
    </row>
    <row r="172" spans="2:5" ht="15" customHeight="1" x14ac:dyDescent="0.2">
      <c r="B172" s="24"/>
      <c r="C172" s="24"/>
      <c r="D172" s="25"/>
      <c r="E172" s="25"/>
    </row>
    <row r="173" spans="2:5" ht="15" customHeight="1" x14ac:dyDescent="0.2">
      <c r="B173" s="24"/>
      <c r="C173" s="24"/>
      <c r="D173" s="25"/>
      <c r="E173" s="25"/>
    </row>
    <row r="174" spans="2:5" ht="15" customHeight="1" x14ac:dyDescent="0.2">
      <c r="B174" s="24"/>
      <c r="C174" s="24"/>
      <c r="D174" s="25"/>
      <c r="E174" s="25"/>
    </row>
    <row r="175" spans="2:5" ht="15" customHeight="1" x14ac:dyDescent="0.2">
      <c r="B175" s="24"/>
      <c r="C175" s="24"/>
      <c r="D175" s="25"/>
      <c r="E175" s="25"/>
    </row>
    <row r="176" spans="2:5" ht="15" customHeight="1" x14ac:dyDescent="0.2">
      <c r="B176" s="24"/>
      <c r="C176" s="24"/>
      <c r="D176" s="25"/>
      <c r="E176" s="25"/>
    </row>
    <row r="177" spans="2:5" ht="15" customHeight="1" x14ac:dyDescent="0.2">
      <c r="B177" s="24"/>
      <c r="C177" s="24"/>
      <c r="D177" s="25"/>
      <c r="E177" s="25"/>
    </row>
    <row r="178" spans="2:5" ht="15" customHeight="1" x14ac:dyDescent="0.2">
      <c r="B178" s="24"/>
      <c r="C178" s="24"/>
      <c r="D178" s="25"/>
      <c r="E178" s="25"/>
    </row>
    <row r="179" spans="2:5" ht="15" customHeight="1" x14ac:dyDescent="0.2">
      <c r="B179" s="24"/>
      <c r="C179" s="24"/>
      <c r="D179" s="25"/>
      <c r="E179" s="25"/>
    </row>
    <row r="180" spans="2:5" ht="15" customHeight="1" x14ac:dyDescent="0.2">
      <c r="B180" s="24"/>
      <c r="C180" s="24"/>
      <c r="D180" s="25"/>
      <c r="E180" s="25"/>
    </row>
    <row r="181" spans="2:5" ht="15" customHeight="1" x14ac:dyDescent="0.2">
      <c r="B181" s="24"/>
      <c r="C181" s="24"/>
      <c r="D181" s="25"/>
      <c r="E181" s="25"/>
    </row>
    <row r="182" spans="2:5" ht="15" customHeight="1" x14ac:dyDescent="0.2">
      <c r="B182" s="24"/>
      <c r="C182" s="24"/>
      <c r="D182" s="25"/>
      <c r="E182" s="25"/>
    </row>
    <row r="183" spans="2:5" ht="15" customHeight="1" x14ac:dyDescent="0.2">
      <c r="B183" s="24"/>
      <c r="C183" s="24"/>
      <c r="D183" s="25"/>
      <c r="E183" s="25"/>
    </row>
    <row r="184" spans="2:5" ht="15" customHeight="1" x14ac:dyDescent="0.2">
      <c r="B184" s="24"/>
      <c r="C184" s="24"/>
      <c r="D184" s="25"/>
      <c r="E184" s="25"/>
    </row>
    <row r="185" spans="2:5" ht="15" customHeight="1" x14ac:dyDescent="0.2">
      <c r="B185" s="24"/>
      <c r="C185" s="24"/>
      <c r="D185" s="25"/>
      <c r="E185" s="25"/>
    </row>
    <row r="186" spans="2:5" ht="15" customHeight="1" x14ac:dyDescent="0.2">
      <c r="B186" s="24"/>
      <c r="C186" s="24"/>
      <c r="D186" s="25"/>
      <c r="E186" s="25"/>
    </row>
    <row r="187" spans="2:5" ht="15" customHeight="1" x14ac:dyDescent="0.2">
      <c r="B187" s="24"/>
      <c r="C187" s="24"/>
      <c r="D187" s="25"/>
      <c r="E187" s="25"/>
    </row>
    <row r="188" spans="2:5" ht="15" customHeight="1" x14ac:dyDescent="0.2">
      <c r="B188" s="24"/>
      <c r="C188" s="24"/>
      <c r="D188" s="25"/>
      <c r="E188" s="25"/>
    </row>
    <row r="189" spans="2:5" ht="15" customHeight="1" x14ac:dyDescent="0.2">
      <c r="B189" s="24"/>
      <c r="C189" s="24"/>
      <c r="D189" s="25"/>
      <c r="E189" s="25"/>
    </row>
    <row r="190" spans="2:5" ht="15" customHeight="1" x14ac:dyDescent="0.2">
      <c r="B190" s="24"/>
      <c r="C190" s="24"/>
      <c r="D190" s="25"/>
      <c r="E190" s="25"/>
    </row>
    <row r="191" spans="2:5" ht="15" customHeight="1" x14ac:dyDescent="0.2">
      <c r="B191" s="24"/>
      <c r="C191" s="24"/>
      <c r="D191" s="25"/>
      <c r="E191" s="25"/>
    </row>
    <row r="192" spans="2:5" ht="15" customHeight="1" x14ac:dyDescent="0.2">
      <c r="B192" s="24"/>
      <c r="C192" s="24"/>
      <c r="D192" s="25"/>
      <c r="E192" s="25"/>
    </row>
    <row r="193" spans="2:5" ht="15" customHeight="1" x14ac:dyDescent="0.2">
      <c r="B193" s="24"/>
      <c r="C193" s="24"/>
      <c r="D193" s="25"/>
      <c r="E193" s="25"/>
    </row>
    <row r="194" spans="2:5" ht="15" customHeight="1" x14ac:dyDescent="0.2">
      <c r="B194" s="24"/>
      <c r="C194" s="24"/>
      <c r="D194" s="25"/>
      <c r="E194" s="25"/>
    </row>
    <row r="195" spans="2:5" ht="15" customHeight="1" x14ac:dyDescent="0.2">
      <c r="B195" s="24"/>
      <c r="C195" s="24"/>
      <c r="D195" s="25"/>
      <c r="E195" s="25"/>
    </row>
    <row r="196" spans="2:5" ht="15" customHeight="1" x14ac:dyDescent="0.2">
      <c r="B196" s="24"/>
      <c r="C196" s="24"/>
      <c r="D196" s="25"/>
      <c r="E196" s="25"/>
    </row>
    <row r="197" spans="2:5" ht="15" customHeight="1" x14ac:dyDescent="0.2">
      <c r="B197" s="24"/>
      <c r="C197" s="24"/>
      <c r="D197" s="25"/>
      <c r="E197" s="25"/>
    </row>
    <row r="198" spans="2:5" ht="15" customHeight="1" x14ac:dyDescent="0.2">
      <c r="B198" s="24"/>
      <c r="C198" s="24"/>
      <c r="D198" s="25"/>
      <c r="E198" s="25"/>
    </row>
    <row r="199" spans="2:5" ht="15" customHeight="1" x14ac:dyDescent="0.2">
      <c r="B199" s="24"/>
      <c r="C199" s="24"/>
      <c r="D199" s="25"/>
      <c r="E199" s="25"/>
    </row>
    <row r="200" spans="2:5" ht="15" customHeight="1" x14ac:dyDescent="0.2">
      <c r="B200" s="24"/>
      <c r="C200" s="24"/>
      <c r="D200" s="25"/>
      <c r="E200" s="25"/>
    </row>
    <row r="201" spans="2:5" ht="15" customHeight="1" x14ac:dyDescent="0.2">
      <c r="B201" s="24"/>
      <c r="C201" s="24"/>
      <c r="D201" s="25"/>
      <c r="E201" s="25"/>
    </row>
    <row r="202" spans="2:5" ht="15" customHeight="1" x14ac:dyDescent="0.2">
      <c r="B202" s="24"/>
      <c r="C202" s="24"/>
      <c r="D202" s="25"/>
      <c r="E202" s="25"/>
    </row>
    <row r="203" spans="2:5" ht="15" customHeight="1" x14ac:dyDescent="0.2">
      <c r="B203" s="24"/>
      <c r="C203" s="24"/>
      <c r="D203" s="25"/>
      <c r="E203" s="25"/>
    </row>
    <row r="204" spans="2:5" ht="15" customHeight="1" x14ac:dyDescent="0.2">
      <c r="B204" s="24"/>
      <c r="C204" s="24"/>
      <c r="D204" s="25"/>
      <c r="E204" s="25"/>
    </row>
    <row r="205" spans="2:5" ht="15" customHeight="1" x14ac:dyDescent="0.2">
      <c r="B205" s="24"/>
      <c r="C205" s="24"/>
      <c r="D205" s="25"/>
      <c r="E205" s="25"/>
    </row>
    <row r="206" spans="2:5" ht="15" customHeight="1" x14ac:dyDescent="0.2">
      <c r="B206" s="24"/>
      <c r="C206" s="24"/>
      <c r="D206" s="25"/>
      <c r="E206" s="25"/>
    </row>
    <row r="207" spans="2:5" ht="15" customHeight="1" x14ac:dyDescent="0.2">
      <c r="B207" s="24"/>
      <c r="C207" s="24"/>
      <c r="D207" s="25"/>
      <c r="E207" s="25"/>
    </row>
    <row r="208" spans="2:5" ht="15" customHeight="1" x14ac:dyDescent="0.2">
      <c r="B208" s="24"/>
      <c r="C208" s="24"/>
      <c r="D208" s="25"/>
      <c r="E208" s="25"/>
    </row>
    <row r="209" spans="2:5" ht="15" customHeight="1" x14ac:dyDescent="0.2">
      <c r="B209" s="24"/>
      <c r="C209" s="24"/>
      <c r="D209" s="25"/>
      <c r="E209" s="25"/>
    </row>
    <row r="210" spans="2:5" ht="15" customHeight="1" x14ac:dyDescent="0.2">
      <c r="B210" s="24"/>
      <c r="C210" s="24"/>
      <c r="D210" s="25"/>
      <c r="E210" s="25"/>
    </row>
    <row r="211" spans="2:5" ht="15" customHeight="1" x14ac:dyDescent="0.2">
      <c r="B211" s="24"/>
      <c r="C211" s="24"/>
      <c r="D211" s="25"/>
      <c r="E211" s="25"/>
    </row>
    <row r="212" spans="2:5" ht="15" customHeight="1" x14ac:dyDescent="0.2">
      <c r="B212" s="24"/>
      <c r="C212" s="24"/>
      <c r="D212" s="25"/>
      <c r="E212" s="25"/>
    </row>
    <row r="213" spans="2:5" ht="15" customHeight="1" x14ac:dyDescent="0.2">
      <c r="B213" s="24"/>
      <c r="C213" s="24"/>
      <c r="D213" s="25"/>
      <c r="E213" s="25"/>
    </row>
    <row r="214" spans="2:5" ht="15" customHeight="1" x14ac:dyDescent="0.2">
      <c r="B214" s="24"/>
      <c r="C214" s="24"/>
      <c r="D214" s="25"/>
      <c r="E214" s="25"/>
    </row>
    <row r="215" spans="2:5" ht="15" customHeight="1" x14ac:dyDescent="0.2">
      <c r="B215" s="24"/>
      <c r="C215" s="24"/>
      <c r="D215" s="25"/>
      <c r="E215" s="25"/>
    </row>
    <row r="216" spans="2:5" ht="15" customHeight="1" x14ac:dyDescent="0.2">
      <c r="B216" s="24"/>
      <c r="C216" s="24"/>
      <c r="D216" s="25"/>
      <c r="E216" s="25"/>
    </row>
    <row r="217" spans="2:5" ht="15" customHeight="1" x14ac:dyDescent="0.2">
      <c r="B217" s="24"/>
      <c r="C217" s="24"/>
      <c r="D217" s="25"/>
      <c r="E217" s="25"/>
    </row>
    <row r="218" spans="2:5" ht="15" customHeight="1" x14ac:dyDescent="0.2">
      <c r="B218" s="24"/>
      <c r="C218" s="24"/>
      <c r="D218" s="25"/>
      <c r="E218" s="25"/>
    </row>
    <row r="219" spans="2:5" ht="15" customHeight="1" x14ac:dyDescent="0.2">
      <c r="B219" s="24"/>
      <c r="C219" s="24"/>
      <c r="D219" s="25"/>
      <c r="E219" s="25"/>
    </row>
    <row r="220" spans="2:5" ht="15" customHeight="1" x14ac:dyDescent="0.2">
      <c r="B220" s="24"/>
      <c r="C220" s="24"/>
      <c r="D220" s="25"/>
      <c r="E220" s="25"/>
    </row>
    <row r="221" spans="2:5" ht="15" customHeight="1" x14ac:dyDescent="0.2">
      <c r="B221" s="24"/>
      <c r="C221" s="24"/>
      <c r="D221" s="25"/>
      <c r="E221" s="25"/>
    </row>
    <row r="222" spans="2:5" ht="15" customHeight="1" x14ac:dyDescent="0.2">
      <c r="B222" s="24"/>
      <c r="C222" s="24"/>
      <c r="D222" s="25"/>
      <c r="E222" s="25"/>
    </row>
    <row r="223" spans="2:5" ht="15" customHeight="1" x14ac:dyDescent="0.2">
      <c r="B223" s="24"/>
      <c r="C223" s="24"/>
      <c r="D223" s="25"/>
      <c r="E223" s="25"/>
    </row>
    <row r="224" spans="2:5" ht="15" customHeight="1" x14ac:dyDescent="0.2">
      <c r="B224" s="24"/>
      <c r="C224" s="24"/>
      <c r="D224" s="25"/>
      <c r="E224" s="25"/>
    </row>
    <row r="225" spans="2:5" ht="15" customHeight="1" x14ac:dyDescent="0.2">
      <c r="B225" s="24"/>
      <c r="C225" s="24"/>
      <c r="D225" s="25"/>
      <c r="E225" s="25"/>
    </row>
    <row r="226" spans="2:5" ht="15" customHeight="1" x14ac:dyDescent="0.2">
      <c r="B226" s="24"/>
      <c r="C226" s="24"/>
      <c r="D226" s="25"/>
      <c r="E226" s="25"/>
    </row>
    <row r="227" spans="2:5" ht="15" customHeight="1" x14ac:dyDescent="0.2">
      <c r="B227" s="24"/>
      <c r="C227" s="24"/>
      <c r="D227" s="25"/>
      <c r="E227" s="25"/>
    </row>
    <row r="228" spans="2:5" ht="15" customHeight="1" x14ac:dyDescent="0.2">
      <c r="B228" s="24"/>
      <c r="C228" s="24"/>
      <c r="D228" s="25"/>
      <c r="E228" s="25"/>
    </row>
    <row r="229" spans="2:5" ht="15" customHeight="1" x14ac:dyDescent="0.2">
      <c r="B229" s="24"/>
      <c r="C229" s="24"/>
      <c r="D229" s="25"/>
      <c r="E229" s="25"/>
    </row>
    <row r="230" spans="2:5" ht="15" customHeight="1" x14ac:dyDescent="0.2">
      <c r="B230" s="24"/>
      <c r="C230" s="24"/>
      <c r="D230" s="25"/>
      <c r="E230" s="25"/>
    </row>
    <row r="231" spans="2:5" ht="15" customHeight="1" x14ac:dyDescent="0.2">
      <c r="B231" s="24"/>
      <c r="C231" s="24"/>
      <c r="D231" s="25"/>
      <c r="E231" s="25"/>
    </row>
    <row r="232" spans="2:5" ht="15" customHeight="1" x14ac:dyDescent="0.2">
      <c r="B232" s="24"/>
      <c r="C232" s="24"/>
      <c r="D232" s="25"/>
      <c r="E232" s="25"/>
    </row>
    <row r="233" spans="2:5" ht="15" customHeight="1" x14ac:dyDescent="0.2">
      <c r="B233" s="24"/>
      <c r="C233" s="24"/>
      <c r="D233" s="25"/>
      <c r="E233" s="25"/>
    </row>
    <row r="234" spans="2:5" ht="15" customHeight="1" x14ac:dyDescent="0.2">
      <c r="B234" s="24"/>
      <c r="C234" s="24"/>
      <c r="D234" s="25"/>
      <c r="E234" s="25"/>
    </row>
    <row r="235" spans="2:5" ht="15" customHeight="1" x14ac:dyDescent="0.2">
      <c r="B235" s="24"/>
      <c r="C235" s="24"/>
      <c r="D235" s="25"/>
      <c r="E235" s="25"/>
    </row>
    <row r="236" spans="2:5" ht="15" customHeight="1" x14ac:dyDescent="0.2">
      <c r="B236" s="24"/>
      <c r="C236" s="24"/>
      <c r="D236" s="25"/>
      <c r="E236" s="25"/>
    </row>
    <row r="237" spans="2:5" ht="15" customHeight="1" x14ac:dyDescent="0.2">
      <c r="B237" s="24"/>
      <c r="C237" s="24"/>
      <c r="D237" s="25"/>
      <c r="E237" s="25"/>
    </row>
    <row r="238" spans="2:5" ht="15" customHeight="1" x14ac:dyDescent="0.2">
      <c r="B238" s="24"/>
      <c r="C238" s="24"/>
      <c r="D238" s="25"/>
      <c r="E238" s="25"/>
    </row>
    <row r="239" spans="2:5" ht="15" customHeight="1" x14ac:dyDescent="0.2">
      <c r="B239" s="24"/>
      <c r="C239" s="24"/>
      <c r="D239" s="25"/>
      <c r="E239" s="25"/>
    </row>
    <row r="240" spans="2:5" ht="15" customHeight="1" x14ac:dyDescent="0.2">
      <c r="B240" s="24"/>
      <c r="C240" s="24"/>
      <c r="D240" s="25"/>
      <c r="E240" s="25"/>
    </row>
    <row r="241" spans="2:5" ht="15" customHeight="1" x14ac:dyDescent="0.2">
      <c r="B241" s="24"/>
      <c r="C241" s="24"/>
      <c r="D241" s="25"/>
      <c r="E241" s="25"/>
    </row>
    <row r="242" spans="2:5" ht="15" customHeight="1" x14ac:dyDescent="0.2">
      <c r="B242" s="24"/>
      <c r="C242" s="24"/>
      <c r="D242" s="25"/>
      <c r="E242" s="25"/>
    </row>
    <row r="243" spans="2:5" ht="15" customHeight="1" x14ac:dyDescent="0.2">
      <c r="B243" s="24"/>
      <c r="C243" s="24"/>
      <c r="D243" s="25"/>
      <c r="E243" s="25"/>
    </row>
    <row r="244" spans="2:5" ht="15" customHeight="1" x14ac:dyDescent="0.2">
      <c r="B244" s="24"/>
      <c r="C244" s="24"/>
      <c r="D244" s="25"/>
      <c r="E244" s="25"/>
    </row>
    <row r="245" spans="2:5" ht="15" customHeight="1" x14ac:dyDescent="0.2">
      <c r="B245" s="24"/>
      <c r="C245" s="24"/>
      <c r="D245" s="25"/>
      <c r="E245" s="25"/>
    </row>
    <row r="246" spans="2:5" ht="15" customHeight="1" x14ac:dyDescent="0.2">
      <c r="B246" s="24"/>
      <c r="C246" s="24"/>
      <c r="D246" s="25"/>
      <c r="E246" s="25"/>
    </row>
    <row r="247" spans="2:5" ht="15" customHeight="1" x14ac:dyDescent="0.2">
      <c r="B247" s="24"/>
      <c r="C247" s="24"/>
      <c r="D247" s="25"/>
      <c r="E247" s="25"/>
    </row>
    <row r="248" spans="2:5" ht="15" customHeight="1" x14ac:dyDescent="0.2">
      <c r="B248" s="24"/>
      <c r="C248" s="24"/>
      <c r="D248" s="25"/>
      <c r="E248" s="25"/>
    </row>
    <row r="249" spans="2:5" ht="15" customHeight="1" x14ac:dyDescent="0.2">
      <c r="B249" s="24"/>
      <c r="C249" s="24"/>
      <c r="D249" s="25"/>
      <c r="E249" s="25"/>
    </row>
    <row r="250" spans="2:5" ht="15" customHeight="1" x14ac:dyDescent="0.2">
      <c r="B250" s="24"/>
      <c r="C250" s="24"/>
      <c r="D250" s="25"/>
      <c r="E250" s="25"/>
    </row>
    <row r="251" spans="2:5" ht="15" customHeight="1" x14ac:dyDescent="0.2">
      <c r="B251" s="24"/>
      <c r="C251" s="24"/>
      <c r="D251" s="25"/>
      <c r="E251" s="25"/>
    </row>
    <row r="252" spans="2:5" ht="15" customHeight="1" x14ac:dyDescent="0.2">
      <c r="B252" s="24"/>
      <c r="C252" s="24"/>
      <c r="D252" s="25"/>
      <c r="E252" s="25"/>
    </row>
    <row r="253" spans="2:5" ht="15" customHeight="1" x14ac:dyDescent="0.2">
      <c r="B253" s="24"/>
      <c r="C253" s="24"/>
      <c r="D253" s="25"/>
      <c r="E253" s="25"/>
    </row>
    <row r="254" spans="2:5" ht="15" customHeight="1" x14ac:dyDescent="0.2">
      <c r="B254" s="24"/>
      <c r="C254" s="24"/>
      <c r="D254" s="25"/>
      <c r="E254" s="25"/>
    </row>
    <row r="255" spans="2:5" ht="15" customHeight="1" x14ac:dyDescent="0.2">
      <c r="B255" s="24"/>
      <c r="C255" s="24"/>
      <c r="D255" s="25"/>
      <c r="E255" s="25"/>
    </row>
    <row r="256" spans="2:5" ht="15" customHeight="1" x14ac:dyDescent="0.2">
      <c r="B256" s="24"/>
      <c r="C256" s="24"/>
      <c r="D256" s="25"/>
      <c r="E256" s="25"/>
    </row>
    <row r="257" spans="2:5" ht="15" customHeight="1" x14ac:dyDescent="0.2">
      <c r="B257" s="24"/>
      <c r="C257" s="24"/>
      <c r="D257" s="25"/>
      <c r="E257" s="25"/>
    </row>
    <row r="258" spans="2:5" ht="15" customHeight="1" x14ac:dyDescent="0.2">
      <c r="B258" s="24"/>
      <c r="C258" s="24"/>
      <c r="D258" s="25"/>
      <c r="E258" s="25"/>
    </row>
    <row r="259" spans="2:5" ht="15" customHeight="1" x14ac:dyDescent="0.2">
      <c r="B259" s="24"/>
      <c r="C259" s="24"/>
      <c r="D259" s="25"/>
      <c r="E259" s="25"/>
    </row>
    <row r="260" spans="2:5" ht="15" customHeight="1" x14ac:dyDescent="0.2">
      <c r="B260" s="24"/>
      <c r="C260" s="24"/>
      <c r="D260" s="25"/>
      <c r="E260" s="25"/>
    </row>
    <row r="261" spans="2:5" ht="15" customHeight="1" x14ac:dyDescent="0.2">
      <c r="B261" s="24"/>
      <c r="C261" s="24"/>
      <c r="D261" s="25"/>
      <c r="E261" s="25"/>
    </row>
    <row r="262" spans="2:5" ht="15" customHeight="1" x14ac:dyDescent="0.2">
      <c r="B262" s="24"/>
      <c r="C262" s="24"/>
      <c r="D262" s="25"/>
      <c r="E262" s="25"/>
    </row>
    <row r="263" spans="2:5" ht="15" customHeight="1" x14ac:dyDescent="0.2">
      <c r="B263" s="24"/>
      <c r="C263" s="24"/>
      <c r="D263" s="25"/>
      <c r="E263" s="25"/>
    </row>
    <row r="264" spans="2:5" ht="15" customHeight="1" x14ac:dyDescent="0.2">
      <c r="B264" s="24"/>
      <c r="C264" s="24"/>
      <c r="D264" s="25"/>
      <c r="E264" s="25"/>
    </row>
    <row r="265" spans="2:5" ht="15" customHeight="1" x14ac:dyDescent="0.2">
      <c r="B265" s="24"/>
      <c r="C265" s="24"/>
      <c r="D265" s="25"/>
      <c r="E265" s="25"/>
    </row>
    <row r="266" spans="2:5" ht="15" customHeight="1" x14ac:dyDescent="0.2">
      <c r="B266" s="24"/>
      <c r="C266" s="24"/>
      <c r="D266" s="25"/>
      <c r="E266" s="25"/>
    </row>
    <row r="267" spans="2:5" ht="15" customHeight="1" x14ac:dyDescent="0.2">
      <c r="B267" s="24"/>
      <c r="C267" s="24"/>
      <c r="D267" s="25"/>
      <c r="E267" s="25"/>
    </row>
    <row r="268" spans="2:5" ht="15" customHeight="1" x14ac:dyDescent="0.2">
      <c r="B268" s="24"/>
      <c r="C268" s="24"/>
      <c r="D268" s="25"/>
      <c r="E268" s="25"/>
    </row>
    <row r="269" spans="2:5" ht="15" customHeight="1" x14ac:dyDescent="0.2">
      <c r="B269" s="24"/>
      <c r="C269" s="24"/>
      <c r="D269" s="25"/>
      <c r="E269" s="25"/>
    </row>
    <row r="270" spans="2:5" ht="15" customHeight="1" x14ac:dyDescent="0.2">
      <c r="B270" s="24"/>
      <c r="C270" s="24"/>
      <c r="D270" s="25"/>
      <c r="E270" s="25"/>
    </row>
    <row r="271" spans="2:5" ht="15" customHeight="1" x14ac:dyDescent="0.2">
      <c r="B271" s="24"/>
      <c r="C271" s="24"/>
      <c r="D271" s="25"/>
      <c r="E271" s="25"/>
    </row>
    <row r="272" spans="2:5" ht="15" customHeight="1" x14ac:dyDescent="0.2">
      <c r="B272" s="24"/>
      <c r="C272" s="24"/>
      <c r="D272" s="25"/>
      <c r="E272" s="25"/>
    </row>
    <row r="273" spans="2:5" ht="15" customHeight="1" x14ac:dyDescent="0.2">
      <c r="B273" s="24"/>
      <c r="C273" s="24"/>
      <c r="D273" s="25"/>
      <c r="E273" s="25"/>
    </row>
    <row r="274" spans="2:5" ht="15" customHeight="1" x14ac:dyDescent="0.2">
      <c r="B274" s="24"/>
      <c r="C274" s="24"/>
      <c r="D274" s="25"/>
      <c r="E274" s="25"/>
    </row>
    <row r="275" spans="2:5" ht="15" customHeight="1" x14ac:dyDescent="0.2">
      <c r="B275" s="24"/>
      <c r="C275" s="24"/>
      <c r="D275" s="25"/>
      <c r="E275" s="25"/>
    </row>
    <row r="276" spans="2:5" ht="15" customHeight="1" x14ac:dyDescent="0.2">
      <c r="B276" s="24"/>
      <c r="C276" s="24"/>
      <c r="D276" s="25"/>
      <c r="E276" s="25"/>
    </row>
    <row r="277" spans="2:5" ht="15" customHeight="1" x14ac:dyDescent="0.2">
      <c r="B277" s="24"/>
      <c r="C277" s="24"/>
      <c r="D277" s="25"/>
      <c r="E277" s="25"/>
    </row>
    <row r="278" spans="2:5" ht="15" customHeight="1" x14ac:dyDescent="0.2">
      <c r="B278" s="24"/>
      <c r="C278" s="24"/>
      <c r="D278" s="25"/>
      <c r="E278" s="25"/>
    </row>
    <row r="279" spans="2:5" ht="15" customHeight="1" x14ac:dyDescent="0.2">
      <c r="B279" s="24"/>
      <c r="C279" s="24"/>
      <c r="D279" s="25"/>
      <c r="E279" s="25"/>
    </row>
    <row r="280" spans="2:5" ht="15" customHeight="1" x14ac:dyDescent="0.2">
      <c r="B280" s="24"/>
      <c r="C280" s="24"/>
      <c r="D280" s="25"/>
      <c r="E280" s="25"/>
    </row>
    <row r="281" spans="2:5" ht="15" customHeight="1" x14ac:dyDescent="0.2">
      <c r="B281" s="24"/>
      <c r="C281" s="24"/>
      <c r="D281" s="25"/>
      <c r="E281" s="25"/>
    </row>
    <row r="282" spans="2:5" ht="15" customHeight="1" x14ac:dyDescent="0.2">
      <c r="B282" s="24"/>
      <c r="C282" s="24"/>
      <c r="D282" s="25"/>
      <c r="E282" s="25"/>
    </row>
    <row r="283" spans="2:5" ht="15" customHeight="1" x14ac:dyDescent="0.2">
      <c r="B283" s="24"/>
      <c r="C283" s="24"/>
      <c r="D283" s="25"/>
      <c r="E283" s="25"/>
    </row>
    <row r="284" spans="2:5" ht="15" customHeight="1" x14ac:dyDescent="0.2">
      <c r="B284" s="24"/>
      <c r="C284" s="24"/>
      <c r="D284" s="25"/>
      <c r="E284" s="25"/>
    </row>
    <row r="285" spans="2:5" ht="15" customHeight="1" x14ac:dyDescent="0.2">
      <c r="B285" s="24"/>
      <c r="C285" s="24"/>
      <c r="D285" s="25"/>
      <c r="E285" s="25"/>
    </row>
    <row r="286" spans="2:5" ht="15" customHeight="1" x14ac:dyDescent="0.2">
      <c r="B286" s="24"/>
      <c r="C286" s="24"/>
      <c r="D286" s="25"/>
      <c r="E286" s="25"/>
    </row>
    <row r="287" spans="2:5" ht="15" customHeight="1" x14ac:dyDescent="0.2">
      <c r="B287" s="24"/>
      <c r="C287" s="24"/>
      <c r="D287" s="25"/>
      <c r="E287" s="25"/>
    </row>
    <row r="288" spans="2:5" ht="15" customHeight="1" x14ac:dyDescent="0.2">
      <c r="B288" s="24"/>
      <c r="C288" s="24"/>
      <c r="D288" s="25"/>
      <c r="E288" s="25"/>
    </row>
  </sheetData>
  <mergeCells count="35">
    <mergeCell ref="AC66:AD66"/>
    <mergeCell ref="AC68:AD68"/>
    <mergeCell ref="AC32:AD32"/>
    <mergeCell ref="AT10:AW10"/>
    <mergeCell ref="C6:C7"/>
    <mergeCell ref="H12:I12"/>
    <mergeCell ref="AG10:AS10"/>
    <mergeCell ref="AJ11:AN11"/>
    <mergeCell ref="AO11:AS11"/>
    <mergeCell ref="AG11:AI11"/>
    <mergeCell ref="AT11:AW11"/>
    <mergeCell ref="AE10:AF11"/>
    <mergeCell ref="B1:AW2"/>
    <mergeCell ref="B10:B12"/>
    <mergeCell ref="C10:C12"/>
    <mergeCell ref="D10:E12"/>
    <mergeCell ref="F10:M11"/>
    <mergeCell ref="N10:AD11"/>
    <mergeCell ref="B9:E9"/>
    <mergeCell ref="AT37:AW37"/>
    <mergeCell ref="AG38:AI38"/>
    <mergeCell ref="AJ38:AN38"/>
    <mergeCell ref="AO38:AS38"/>
    <mergeCell ref="AT38:AW38"/>
    <mergeCell ref="B36:E36"/>
    <mergeCell ref="C33:C34"/>
    <mergeCell ref="X13:AA13"/>
    <mergeCell ref="AE37:AF38"/>
    <mergeCell ref="AG37:AS37"/>
    <mergeCell ref="B37:B39"/>
    <mergeCell ref="C37:C39"/>
    <mergeCell ref="D37:E39"/>
    <mergeCell ref="F37:M38"/>
    <mergeCell ref="N37:AD38"/>
    <mergeCell ref="H39:I39"/>
  </mergeCells>
  <phoneticPr fontId="1" type="noConversion"/>
  <printOptions horizontalCentered="1"/>
  <pageMargins left="0.39370078740157483" right="0.15748031496062989" top="0.27559055118110237" bottom="0.59055118110236227" header="0.15748031496062989" footer="0.15748031496062989"/>
  <pageSetup paperSize="9" orientation="landscape" horizontalDpi="4294967292" verticalDpi="0" r:id="rId1"/>
  <headerFooter alignWithMargins="0">
    <oddFooter>&amp;L&amp;6 &amp;A&amp;C&amp;6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1"/>
  <dimension ref="A1:AB30"/>
  <sheetViews>
    <sheetView showGridLines="0" zoomScaleNormal="100" workbookViewId="0">
      <selection activeCell="D33" sqref="D33"/>
    </sheetView>
  </sheetViews>
  <sheetFormatPr defaultRowHeight="15" customHeight="1" x14ac:dyDescent="0.15"/>
  <cols>
    <col min="1" max="1" width="5.77734375" style="2" customWidth="1"/>
    <col min="2" max="2" width="15.77734375" style="2" customWidth="1"/>
    <col min="3" max="6" width="3.77734375" style="3" customWidth="1"/>
    <col min="7" max="7" width="7.77734375" style="3" customWidth="1"/>
    <col min="8" max="9" width="6.77734375" style="3" customWidth="1"/>
    <col min="10" max="11" width="7.77734375" style="3" customWidth="1"/>
    <col min="12" max="12" width="6.77734375" style="3" customWidth="1"/>
    <col min="13" max="14" width="7.77734375" style="3" customWidth="1"/>
    <col min="15" max="15" width="6.77734375" style="3" customWidth="1"/>
    <col min="16" max="16" width="7.77734375" style="3" customWidth="1"/>
    <col min="17" max="21" width="8.77734375" style="3" customWidth="1"/>
    <col min="22" max="22" width="12.77734375" style="3" customWidth="1"/>
    <col min="23" max="28" width="4.77734375" style="3" customWidth="1"/>
    <col min="29" max="29" width="8.88671875" style="3" customWidth="1"/>
    <col min="30" max="16384" width="8.88671875" style="3"/>
  </cols>
  <sheetData>
    <row r="1" spans="1:28" s="1" customFormat="1" ht="15" customHeight="1" x14ac:dyDescent="0.15">
      <c r="A1" s="283" t="s">
        <v>63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5"/>
    </row>
    <row r="2" spans="1:28" s="1" customFormat="1" ht="15" customHeight="1" x14ac:dyDescent="0.15"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</row>
    <row r="3" spans="1:28" ht="15" customHeight="1" x14ac:dyDescent="0.15">
      <c r="I3" s="2" t="s">
        <v>194</v>
      </c>
      <c r="P3" s="2" t="s">
        <v>145</v>
      </c>
      <c r="R3" s="2" t="s">
        <v>122</v>
      </c>
      <c r="S3" s="2" t="s">
        <v>123</v>
      </c>
    </row>
    <row r="4" spans="1:28" s="2" customFormat="1" ht="15" customHeight="1" x14ac:dyDescent="0.15">
      <c r="A4" s="278" t="s">
        <v>64</v>
      </c>
      <c r="B4" s="278" t="s">
        <v>65</v>
      </c>
      <c r="C4" s="280" t="s">
        <v>17</v>
      </c>
      <c r="D4" s="281"/>
      <c r="E4" s="281"/>
      <c r="F4" s="282"/>
      <c r="G4" s="148" t="s">
        <v>66</v>
      </c>
      <c r="H4" s="148" t="s">
        <v>67</v>
      </c>
      <c r="I4" s="148" t="s">
        <v>195</v>
      </c>
      <c r="J4" s="148" t="s">
        <v>68</v>
      </c>
      <c r="K4" s="148" t="s">
        <v>69</v>
      </c>
      <c r="L4" s="148" t="s">
        <v>70</v>
      </c>
      <c r="M4" s="148" t="s">
        <v>71</v>
      </c>
      <c r="N4" s="148" t="s">
        <v>72</v>
      </c>
      <c r="O4" s="148" t="s">
        <v>73</v>
      </c>
      <c r="P4" s="148" t="s">
        <v>164</v>
      </c>
      <c r="Q4" s="149" t="s">
        <v>74</v>
      </c>
      <c r="R4" s="149" t="s">
        <v>74</v>
      </c>
      <c r="S4" s="149" t="s">
        <v>75</v>
      </c>
      <c r="T4" s="149" t="s">
        <v>76</v>
      </c>
      <c r="U4" s="148" t="s">
        <v>77</v>
      </c>
      <c r="V4" s="278" t="s">
        <v>78</v>
      </c>
    </row>
    <row r="5" spans="1:28" s="2" customFormat="1" ht="15" customHeight="1" x14ac:dyDescent="0.15">
      <c r="A5" s="279"/>
      <c r="B5" s="279"/>
      <c r="C5" s="147" t="s">
        <v>79</v>
      </c>
      <c r="D5" s="147" t="s">
        <v>80</v>
      </c>
      <c r="E5" s="147" t="s">
        <v>81</v>
      </c>
      <c r="F5" s="147" t="s">
        <v>82</v>
      </c>
      <c r="G5" s="150" t="s">
        <v>83</v>
      </c>
      <c r="H5" s="150" t="s">
        <v>84</v>
      </c>
      <c r="I5" s="150" t="s">
        <v>85</v>
      </c>
      <c r="J5" s="150" t="s">
        <v>86</v>
      </c>
      <c r="K5" s="150" t="s">
        <v>87</v>
      </c>
      <c r="L5" s="150" t="s">
        <v>85</v>
      </c>
      <c r="M5" s="150" t="s">
        <v>86</v>
      </c>
      <c r="N5" s="150" t="s">
        <v>87</v>
      </c>
      <c r="O5" s="150" t="s">
        <v>85</v>
      </c>
      <c r="P5" s="150" t="s">
        <v>86</v>
      </c>
      <c r="Q5" s="150" t="s">
        <v>88</v>
      </c>
      <c r="R5" s="150" t="s">
        <v>89</v>
      </c>
      <c r="S5" s="151" t="s">
        <v>90</v>
      </c>
      <c r="T5" s="151" t="s">
        <v>91</v>
      </c>
      <c r="U5" s="150" t="s">
        <v>84</v>
      </c>
      <c r="V5" s="279"/>
    </row>
    <row r="6" spans="1:28" s="5" customFormat="1" ht="15" customHeight="1" x14ac:dyDescent="0.15">
      <c r="A6" s="145"/>
      <c r="B6" s="152" t="s">
        <v>92</v>
      </c>
      <c r="C6" s="4">
        <v>100</v>
      </c>
      <c r="D6" s="4">
        <v>100</v>
      </c>
      <c r="E6" s="4">
        <v>6</v>
      </c>
      <c r="F6" s="4">
        <v>8</v>
      </c>
      <c r="G6" s="153">
        <v>0.16867438000000001</v>
      </c>
      <c r="H6" s="154">
        <v>2190</v>
      </c>
      <c r="I6" s="153">
        <f t="shared" ref="I6:I11" si="0">((((F6*D6^3/12) + (((0.5*C6-F6)/3)*E6^3/12))/(D6*F6 + E6*(0.5*C6-F6)/3))^0.5)</f>
        <v>27.466941599760347</v>
      </c>
      <c r="J6" s="154">
        <v>3830000</v>
      </c>
      <c r="K6" s="153">
        <v>765000</v>
      </c>
      <c r="L6" s="153">
        <v>41.8</v>
      </c>
      <c r="M6" s="154">
        <v>1340000</v>
      </c>
      <c r="N6" s="153">
        <v>26700</v>
      </c>
      <c r="O6" s="153">
        <v>24.7</v>
      </c>
      <c r="P6" s="153">
        <v>40200</v>
      </c>
      <c r="Q6" s="146" t="str">
        <f>IF(D6/2/F6&lt;=170*SQRT(Input_disp_check!$C$6),"Compact","noncompact")</f>
        <v>Compact</v>
      </c>
      <c r="R6" s="146" t="str">
        <f>IF(C6/E6&lt;=((1680/Input_disp_check!$C$6^0.5)*(1-3.74*0.16)),"Compact","non Compact")</f>
        <v>Compact</v>
      </c>
      <c r="S6" s="146" t="str">
        <f>IF(((C6-2*F6)/E6)&lt;=(999.6*SQRT(Input_disp_check!$C$6)),"OK","Warning")</f>
        <v>OK</v>
      </c>
      <c r="T6" s="155">
        <f t="shared" ref="T6:U13" si="1">C6*E6</f>
        <v>600</v>
      </c>
      <c r="U6" s="153">
        <f t="shared" si="1"/>
        <v>800</v>
      </c>
      <c r="V6" s="4"/>
      <c r="W6" s="6"/>
      <c r="X6" s="6"/>
      <c r="Y6" s="6"/>
      <c r="Z6" s="6"/>
      <c r="AA6" s="6"/>
      <c r="AB6" s="6"/>
    </row>
    <row r="7" spans="1:28" s="5" customFormat="1" ht="15" customHeight="1" x14ac:dyDescent="0.15">
      <c r="A7" s="145"/>
      <c r="B7" s="152" t="s">
        <v>93</v>
      </c>
      <c r="C7" s="4">
        <v>125</v>
      </c>
      <c r="D7" s="4">
        <v>125</v>
      </c>
      <c r="E7" s="4">
        <v>6.5</v>
      </c>
      <c r="F7" s="4">
        <v>9</v>
      </c>
      <c r="G7" s="153">
        <v>0.23339826999999999</v>
      </c>
      <c r="H7" s="154">
        <v>3031</v>
      </c>
      <c r="I7" s="153">
        <f t="shared" si="0"/>
        <v>34.362506408833305</v>
      </c>
      <c r="J7" s="154">
        <v>8470000</v>
      </c>
      <c r="K7" s="153">
        <v>136000</v>
      </c>
      <c r="L7" s="153">
        <v>52.9</v>
      </c>
      <c r="M7" s="154">
        <v>2930000</v>
      </c>
      <c r="N7" s="153">
        <v>47000</v>
      </c>
      <c r="O7" s="153">
        <v>31.1</v>
      </c>
      <c r="P7" s="153">
        <v>70500</v>
      </c>
      <c r="Q7" s="146" t="str">
        <f>IF(D7/2/F7&lt;=170*SQRT(Input_disp_check!$C$6),"Compact","noncompact")</f>
        <v>Compact</v>
      </c>
      <c r="R7" s="146" t="str">
        <f>IF(C7/E7&lt;=((1680/Input_disp_check!$C$6^0.5)*(1-3.74*0.16)),"Compact","non Compact")</f>
        <v>Compact</v>
      </c>
      <c r="S7" s="146" t="str">
        <f>IF(((C7-2*F7)/E7)&lt;=(999.6*SQRT(Input_disp_check!$C$6)),"OK","Warning")</f>
        <v>OK</v>
      </c>
      <c r="T7" s="155">
        <f t="shared" si="1"/>
        <v>812.5</v>
      </c>
      <c r="U7" s="153">
        <f t="shared" si="1"/>
        <v>1125</v>
      </c>
      <c r="V7" s="4"/>
      <c r="W7" s="6"/>
      <c r="X7" s="6"/>
      <c r="Y7" s="6"/>
      <c r="Z7" s="6"/>
      <c r="AA7" s="6"/>
      <c r="AB7" s="6"/>
    </row>
    <row r="8" spans="1:28" s="5" customFormat="1" ht="15" customHeight="1" x14ac:dyDescent="0.15">
      <c r="A8" s="145"/>
      <c r="B8" s="152" t="s">
        <v>94</v>
      </c>
      <c r="C8" s="4">
        <v>150</v>
      </c>
      <c r="D8" s="4">
        <v>150</v>
      </c>
      <c r="E8" s="4">
        <v>7</v>
      </c>
      <c r="F8" s="4">
        <v>10</v>
      </c>
      <c r="G8" s="153">
        <v>0.30869999999999997</v>
      </c>
      <c r="H8" s="154">
        <v>4014</v>
      </c>
      <c r="I8" s="153">
        <f t="shared" si="0"/>
        <v>41.26984839825154</v>
      </c>
      <c r="J8" s="154">
        <v>16400000</v>
      </c>
      <c r="K8" s="153">
        <v>219000</v>
      </c>
      <c r="L8" s="153">
        <v>63.9</v>
      </c>
      <c r="M8" s="154">
        <v>5630000</v>
      </c>
      <c r="N8" s="153">
        <v>75100</v>
      </c>
      <c r="O8" s="153">
        <v>37.5</v>
      </c>
      <c r="P8" s="153">
        <v>115000</v>
      </c>
      <c r="Q8" s="146" t="str">
        <f>IF(D8/2/F8&lt;=170*SQRT(Input_disp_check!$C$6),"Compact","noncompact")</f>
        <v>Compact</v>
      </c>
      <c r="R8" s="146" t="str">
        <f>IF(C8/E8&lt;=((1680/Input_disp_check!$C$6^0.5)*(1-3.74*0.16)),"Compact","non Compact")</f>
        <v>Compact</v>
      </c>
      <c r="S8" s="146" t="str">
        <f>IF(((C8-2*F8)/E8)&lt;=(999.6*SQRT(Input_disp_check!$C$6)),"OK","Warning")</f>
        <v>OK</v>
      </c>
      <c r="T8" s="155">
        <f t="shared" si="1"/>
        <v>1050</v>
      </c>
      <c r="U8" s="153">
        <f t="shared" si="1"/>
        <v>1500</v>
      </c>
      <c r="V8" s="4"/>
      <c r="W8" s="6"/>
      <c r="X8" s="6"/>
      <c r="Y8" s="6"/>
      <c r="Z8" s="6"/>
      <c r="AA8" s="6"/>
      <c r="AB8" s="6"/>
    </row>
    <row r="9" spans="1:28" s="5" customFormat="1" ht="15" customHeight="1" x14ac:dyDescent="0.15">
      <c r="A9" s="145"/>
      <c r="B9" s="152" t="s">
        <v>95</v>
      </c>
      <c r="C9" s="4">
        <v>194</v>
      </c>
      <c r="D9" s="4">
        <v>150</v>
      </c>
      <c r="E9" s="4">
        <v>6</v>
      </c>
      <c r="F9" s="4">
        <v>9</v>
      </c>
      <c r="G9" s="153">
        <f>30.6*9.80665/1000</f>
        <v>0.30008349000000001</v>
      </c>
      <c r="H9" s="154">
        <v>3901</v>
      </c>
      <c r="I9" s="153">
        <f t="shared" si="0"/>
        <v>40.731982082280808</v>
      </c>
      <c r="J9" s="154">
        <v>26900000</v>
      </c>
      <c r="K9" s="153">
        <v>277000</v>
      </c>
      <c r="L9" s="153">
        <v>83</v>
      </c>
      <c r="M9" s="154">
        <v>5070000</v>
      </c>
      <c r="N9" s="153">
        <v>67600</v>
      </c>
      <c r="O9" s="153">
        <v>36.1</v>
      </c>
      <c r="P9" s="153">
        <v>85600</v>
      </c>
      <c r="Q9" s="146" t="str">
        <f>IF(D9/2/F9&lt;=170*SQRT(Input_disp_check!$C$6),"Compact","noncompact")</f>
        <v>Compact</v>
      </c>
      <c r="R9" s="146" t="str">
        <f>IF(C9/E9&lt;=((1680/Input_disp_check!$C$6^0.5)*(1-3.74*0.16)),"Compact","non Compact")</f>
        <v>Compact</v>
      </c>
      <c r="S9" s="146" t="str">
        <f>IF(((C9-2*F9)/E9)&lt;=(999.6*SQRT(Input_disp_check!$C$6)),"OK","Warning")</f>
        <v>OK</v>
      </c>
      <c r="T9" s="155">
        <f t="shared" si="1"/>
        <v>1164</v>
      </c>
      <c r="U9" s="153">
        <f t="shared" si="1"/>
        <v>1350</v>
      </c>
      <c r="V9" s="4"/>
      <c r="W9" s="6"/>
      <c r="X9" s="6"/>
      <c r="Y9" s="6"/>
      <c r="Z9" s="6"/>
      <c r="AA9" s="6"/>
      <c r="AB9" s="6"/>
    </row>
    <row r="10" spans="1:28" s="5" customFormat="1" ht="15" customHeight="1" x14ac:dyDescent="0.15">
      <c r="A10" s="145"/>
      <c r="B10" s="152" t="s">
        <v>96</v>
      </c>
      <c r="C10" s="4">
        <v>200</v>
      </c>
      <c r="D10" s="4">
        <v>200</v>
      </c>
      <c r="E10" s="4">
        <v>8</v>
      </c>
      <c r="F10" s="4">
        <v>12</v>
      </c>
      <c r="G10" s="153">
        <v>0.48935183500000001</v>
      </c>
      <c r="H10" s="154">
        <v>6353</v>
      </c>
      <c r="I10" s="153">
        <f t="shared" si="0"/>
        <v>55.10818705693152</v>
      </c>
      <c r="J10" s="154">
        <v>47200000</v>
      </c>
      <c r="K10" s="153">
        <v>472000</v>
      </c>
      <c r="L10" s="153">
        <v>86.2</v>
      </c>
      <c r="M10" s="154">
        <v>16000000</v>
      </c>
      <c r="N10" s="153">
        <v>160000</v>
      </c>
      <c r="O10" s="153">
        <v>50.2</v>
      </c>
      <c r="P10" s="153">
        <v>260000</v>
      </c>
      <c r="Q10" s="146" t="str">
        <f>IF(D10/2/F10&lt;=170*SQRT(Input_disp_check!$C$6),"Compact","noncompact")</f>
        <v>Compact</v>
      </c>
      <c r="R10" s="146" t="str">
        <f>IF(C10/E10&lt;=((1680/Input_disp_check!$C$6^0.5)*(1-3.74*0.16)),"Compact","non Compact")</f>
        <v>Compact</v>
      </c>
      <c r="S10" s="146" t="str">
        <f>IF(((C10-2*F10)/E10)&lt;=(999.6*SQRT(Input_disp_check!$C$6)),"OK","Warning")</f>
        <v>OK</v>
      </c>
      <c r="T10" s="155">
        <f>C10*E10</f>
        <v>1600</v>
      </c>
      <c r="U10" s="153">
        <f>D10*F10</f>
        <v>2400</v>
      </c>
      <c r="V10" s="4"/>
      <c r="W10" s="6"/>
      <c r="X10" s="6"/>
      <c r="Y10" s="6"/>
      <c r="Z10" s="3"/>
      <c r="AA10" s="6"/>
      <c r="AB10" s="6"/>
    </row>
    <row r="11" spans="1:28" s="5" customFormat="1" ht="15" customHeight="1" x14ac:dyDescent="0.15">
      <c r="A11" s="145"/>
      <c r="B11" s="152" t="s">
        <v>97</v>
      </c>
      <c r="C11" s="4">
        <v>250</v>
      </c>
      <c r="D11" s="4">
        <v>250</v>
      </c>
      <c r="E11" s="4">
        <v>9</v>
      </c>
      <c r="F11" s="4">
        <v>14</v>
      </c>
      <c r="G11" s="153">
        <f>72.4*9.80665/1000</f>
        <v>0.71000146000000008</v>
      </c>
      <c r="H11" s="154">
        <v>9218</v>
      </c>
      <c r="I11" s="153">
        <f t="shared" si="0"/>
        <v>68.96691058178628</v>
      </c>
      <c r="J11" s="154">
        <v>108000000</v>
      </c>
      <c r="K11" s="153">
        <v>867000</v>
      </c>
      <c r="L11" s="153">
        <v>108</v>
      </c>
      <c r="M11" s="154">
        <v>36500000</v>
      </c>
      <c r="N11" s="153">
        <v>292000</v>
      </c>
      <c r="O11" s="153">
        <v>62.9</v>
      </c>
      <c r="P11" s="153">
        <v>511000.00000000006</v>
      </c>
      <c r="Q11" s="146" t="str">
        <f>IF(D11/2/F11&lt;=170*SQRT(Input_disp_check!$C$6),"Compact","noncompact")</f>
        <v>Compact</v>
      </c>
      <c r="R11" s="146" t="str">
        <f>IF(C11/E11&lt;=((1680/Input_disp_check!$C$6^0.5)*(1-3.74*0.16)),"Compact","non Compact")</f>
        <v>Compact</v>
      </c>
      <c r="S11" s="146" t="str">
        <f>IF(((C11-2*F11)/E11)&lt;=(999.6*SQRT(Input_disp_check!$C$6)),"OK","Warning")</f>
        <v>OK</v>
      </c>
      <c r="T11" s="155">
        <f t="shared" si="1"/>
        <v>2250</v>
      </c>
      <c r="U11" s="153">
        <f t="shared" si="1"/>
        <v>3500</v>
      </c>
      <c r="V11" s="4"/>
      <c r="W11" s="6"/>
      <c r="X11" s="6"/>
      <c r="Y11" s="6"/>
      <c r="Z11" s="6"/>
      <c r="AA11" s="6"/>
      <c r="AB11" s="6"/>
    </row>
    <row r="12" spans="1:28" s="5" customFormat="1" ht="15" customHeight="1" x14ac:dyDescent="0.15">
      <c r="A12" s="145"/>
      <c r="B12" s="152" t="s">
        <v>98</v>
      </c>
      <c r="C12" s="4">
        <v>300</v>
      </c>
      <c r="D12" s="4">
        <v>300</v>
      </c>
      <c r="E12" s="4">
        <v>10</v>
      </c>
      <c r="F12" s="4">
        <v>15</v>
      </c>
      <c r="G12" s="153">
        <f>94*9.80665/1000</f>
        <v>0.92182509999999995</v>
      </c>
      <c r="H12" s="154">
        <v>11980</v>
      </c>
      <c r="I12" s="153">
        <f t="shared" ref="I12:I13" si="2">((((F12*D12^3/12) + (((0.5*C12-F12)/3)*E12^3/12))/(D12*F12 + E12*(0.5*C12-F12)/3))^0.5)</f>
        <v>82.576869606079129</v>
      </c>
      <c r="J12" s="154">
        <v>204000000</v>
      </c>
      <c r="K12" s="153">
        <v>1360000</v>
      </c>
      <c r="L12" s="153">
        <v>131</v>
      </c>
      <c r="M12" s="154">
        <v>67500000</v>
      </c>
      <c r="N12" s="153">
        <v>450000</v>
      </c>
      <c r="O12" s="153">
        <v>75.099999999999994</v>
      </c>
      <c r="P12" s="153">
        <v>765000</v>
      </c>
      <c r="Q12" s="146" t="str">
        <f>IF(D12/2/F12&lt;=170*SQRT(Input_disp_check!$C$6),"Compact","noncompact")</f>
        <v>Compact</v>
      </c>
      <c r="R12" s="146" t="str">
        <f>IF(C12/E12&lt;=((1680/Input_disp_check!$C$6^0.5)*(1-3.74*0.16)),"Compact","non Compact")</f>
        <v>Compact</v>
      </c>
      <c r="S12" s="146" t="str">
        <f>IF(((C12-2*F12)/E12)&lt;=(999.6*SQRT(Input_disp_check!$C$6)),"OK","Warning")</f>
        <v>OK</v>
      </c>
      <c r="T12" s="155">
        <f t="shared" si="1"/>
        <v>3000</v>
      </c>
      <c r="U12" s="153">
        <f t="shared" si="1"/>
        <v>4500</v>
      </c>
      <c r="V12" s="4"/>
      <c r="W12" s="6"/>
      <c r="X12" s="6"/>
      <c r="Y12" s="6"/>
      <c r="Z12" s="6"/>
      <c r="AA12" s="6"/>
      <c r="AB12" s="6"/>
    </row>
    <row r="13" spans="1:28" s="5" customFormat="1" ht="15" customHeight="1" x14ac:dyDescent="0.15">
      <c r="A13" s="145"/>
      <c r="B13" s="152" t="s">
        <v>99</v>
      </c>
      <c r="C13" s="4">
        <v>350</v>
      </c>
      <c r="D13" s="4">
        <v>350</v>
      </c>
      <c r="E13" s="4">
        <v>12</v>
      </c>
      <c r="F13" s="4">
        <v>19</v>
      </c>
      <c r="G13" s="153">
        <f>137*9.80665/1000</f>
        <v>1.3435110499999998</v>
      </c>
      <c r="H13" s="154">
        <v>17390</v>
      </c>
      <c r="I13" s="153">
        <f t="shared" si="2"/>
        <v>96.610770644327644</v>
      </c>
      <c r="J13" s="154">
        <v>403000000</v>
      </c>
      <c r="K13" s="153">
        <v>2300000</v>
      </c>
      <c r="L13" s="153">
        <v>152</v>
      </c>
      <c r="M13" s="154">
        <v>136000000</v>
      </c>
      <c r="N13" s="153">
        <v>776000</v>
      </c>
      <c r="O13" s="153">
        <v>88.4</v>
      </c>
      <c r="P13" s="153">
        <v>1780000</v>
      </c>
      <c r="Q13" s="146" t="str">
        <f>IF(D13/2/F13&lt;=170*SQRT(Input_disp_check!$C$6),"Compact","noncompact")</f>
        <v>Compact</v>
      </c>
      <c r="R13" s="146" t="str">
        <f>IF(C13/E13&lt;=((1680/Input_disp_check!$C$6^0.5)*(1-3.74*0.16)),"Compact","non Compact")</f>
        <v>Compact</v>
      </c>
      <c r="S13" s="146" t="str">
        <f>IF(((C13-2*F13)/E13)&lt;=(999.6*SQRT(Input_disp_check!$C$6)),"OK","Warning")</f>
        <v>OK</v>
      </c>
      <c r="T13" s="155">
        <f t="shared" si="1"/>
        <v>4200</v>
      </c>
      <c r="U13" s="153">
        <f t="shared" si="1"/>
        <v>6650</v>
      </c>
      <c r="V13" s="4"/>
      <c r="W13" s="6"/>
      <c r="X13" s="6"/>
      <c r="Y13" s="6"/>
      <c r="Z13" s="6"/>
      <c r="AA13" s="6"/>
      <c r="AB13" s="6"/>
    </row>
    <row r="14" spans="1:28" s="5" customFormat="1" ht="15" customHeight="1" x14ac:dyDescent="0.15">
      <c r="A14" s="145"/>
      <c r="B14" s="152" t="s">
        <v>100</v>
      </c>
      <c r="C14" s="4">
        <v>400</v>
      </c>
      <c r="D14" s="4">
        <v>400</v>
      </c>
      <c r="E14" s="4">
        <v>13</v>
      </c>
      <c r="F14" s="4">
        <v>21</v>
      </c>
      <c r="G14" s="153">
        <f>172*9.80665/1000</f>
        <v>1.6867437999999999</v>
      </c>
      <c r="H14" s="154">
        <v>21870</v>
      </c>
      <c r="I14" s="153">
        <f t="shared" ref="I14" si="3">((((F14*D14^3/12) + (((0.5*C14-F14)/3)*E14^3/12))/(D14*F14 + E14*(0.5*C14-F14)/3))^0.5)</f>
        <v>110.48704941604905</v>
      </c>
      <c r="J14" s="154">
        <v>666000000</v>
      </c>
      <c r="K14" s="153">
        <v>3330000</v>
      </c>
      <c r="L14" s="153">
        <v>175</v>
      </c>
      <c r="M14" s="154">
        <v>224000000</v>
      </c>
      <c r="N14" s="153">
        <v>1120000</v>
      </c>
      <c r="O14" s="153">
        <v>101</v>
      </c>
      <c r="P14" s="153">
        <v>2730000</v>
      </c>
      <c r="Q14" s="146" t="str">
        <f>IF(D14/2/F14&lt;=170*SQRT(Input_disp_check!$C$6),"Compact","noncompact")</f>
        <v>Compact</v>
      </c>
      <c r="R14" s="146" t="str">
        <f>IF(C14/E14&lt;=((1680/Input_disp_check!$C$6^0.5)*(1-3.74*0.16)),"Compact","non Compact")</f>
        <v>Compact</v>
      </c>
      <c r="S14" s="146" t="str">
        <f>IF(((C14-2*F14)/E14)&lt;=(999.6*SQRT(Input_disp_check!$C$6)),"OK","Warning")</f>
        <v>OK</v>
      </c>
      <c r="T14" s="155">
        <f t="shared" ref="T14" si="4">C14*E14</f>
        <v>5200</v>
      </c>
      <c r="U14" s="153">
        <f t="shared" ref="U14" si="5">D14*F14</f>
        <v>8400</v>
      </c>
      <c r="V14" s="4"/>
      <c r="W14" s="6"/>
      <c r="X14" s="6"/>
      <c r="Y14" s="6"/>
      <c r="Z14" s="6"/>
      <c r="AA14" s="6"/>
      <c r="AB14" s="6"/>
    </row>
    <row r="15" spans="1:28" s="5" customFormat="1" ht="15" customHeight="1" x14ac:dyDescent="0.15">
      <c r="A15" s="145"/>
      <c r="B15" s="152"/>
      <c r="C15" s="4"/>
      <c r="D15" s="4"/>
      <c r="E15" s="4"/>
      <c r="F15" s="4"/>
      <c r="G15" s="153"/>
      <c r="H15" s="154"/>
      <c r="I15" s="153"/>
      <c r="J15" s="154"/>
      <c r="K15" s="153"/>
      <c r="L15" s="153"/>
      <c r="M15" s="154"/>
      <c r="N15" s="153"/>
      <c r="O15" s="153"/>
      <c r="P15" s="153"/>
      <c r="Q15" s="146"/>
      <c r="R15" s="146"/>
      <c r="S15" s="146"/>
      <c r="T15" s="155"/>
      <c r="U15" s="153"/>
      <c r="V15" s="4"/>
      <c r="W15" s="6"/>
      <c r="X15" s="6"/>
      <c r="Y15" s="6"/>
      <c r="Z15" s="6"/>
      <c r="AA15" s="6"/>
      <c r="AB15" s="6"/>
    </row>
    <row r="16" spans="1:28" s="5" customFormat="1" ht="15" customHeight="1" x14ac:dyDescent="0.15">
      <c r="A16" s="145"/>
      <c r="B16" s="152"/>
      <c r="C16" s="4"/>
      <c r="D16" s="4"/>
      <c r="E16" s="4"/>
      <c r="F16" s="4"/>
      <c r="G16" s="153"/>
      <c r="H16" s="154"/>
      <c r="I16" s="153"/>
      <c r="J16" s="154"/>
      <c r="K16" s="153"/>
      <c r="L16" s="153"/>
      <c r="M16" s="154"/>
      <c r="N16" s="153"/>
      <c r="O16" s="153"/>
      <c r="P16" s="153"/>
      <c r="Q16" s="146"/>
      <c r="R16" s="146"/>
      <c r="S16" s="146"/>
      <c r="T16" s="155"/>
      <c r="U16" s="153"/>
      <c r="V16" s="4"/>
      <c r="W16" s="6"/>
      <c r="X16" s="6"/>
      <c r="Y16" s="6"/>
      <c r="Z16" s="6"/>
      <c r="AA16" s="6"/>
      <c r="AB16" s="6"/>
    </row>
    <row r="17" spans="1:28" s="5" customFormat="1" ht="15" customHeight="1" x14ac:dyDescent="0.15">
      <c r="A17" s="145"/>
      <c r="B17" s="152"/>
      <c r="C17" s="4"/>
      <c r="D17" s="4"/>
      <c r="E17" s="4"/>
      <c r="F17" s="4"/>
      <c r="G17" s="153"/>
      <c r="H17" s="154"/>
      <c r="I17" s="153"/>
      <c r="J17" s="154"/>
      <c r="K17" s="153"/>
      <c r="L17" s="153"/>
      <c r="M17" s="154"/>
      <c r="N17" s="153"/>
      <c r="O17" s="153"/>
      <c r="P17" s="153"/>
      <c r="Q17" s="146"/>
      <c r="R17" s="146"/>
      <c r="S17" s="146"/>
      <c r="T17" s="155"/>
      <c r="U17" s="153"/>
      <c r="V17" s="4"/>
      <c r="W17" s="6"/>
      <c r="X17" s="6"/>
      <c r="Y17" s="6"/>
      <c r="Z17" s="6"/>
      <c r="AA17" s="6"/>
      <c r="AB17" s="6"/>
    </row>
    <row r="22" spans="1:28" ht="15" customHeight="1" x14ac:dyDescent="0.15">
      <c r="A22" s="123" t="s">
        <v>163</v>
      </c>
    </row>
    <row r="23" spans="1:28" ht="15" customHeight="1" x14ac:dyDescent="0.15">
      <c r="A23" s="124"/>
    </row>
    <row r="24" spans="1:28" ht="15" customHeight="1" x14ac:dyDescent="0.15">
      <c r="A24" s="123" t="s">
        <v>124</v>
      </c>
    </row>
    <row r="25" spans="1:28" ht="15" customHeight="1" x14ac:dyDescent="0.15">
      <c r="A25" s="125" t="s">
        <v>162</v>
      </c>
    </row>
    <row r="26" spans="1:28" ht="15" customHeight="1" x14ac:dyDescent="0.15">
      <c r="A26" s="125"/>
    </row>
    <row r="27" spans="1:28" ht="15" customHeight="1" x14ac:dyDescent="0.15">
      <c r="A27" s="123" t="s">
        <v>181</v>
      </c>
      <c r="B27" s="3"/>
      <c r="R27" s="7"/>
    </row>
    <row r="28" spans="1:28" ht="15" customHeight="1" x14ac:dyDescent="0.15">
      <c r="B28" s="3"/>
    </row>
    <row r="29" spans="1:28" ht="15" customHeight="1" x14ac:dyDescent="0.15">
      <c r="A29" s="123" t="s">
        <v>196</v>
      </c>
      <c r="B29" s="3"/>
      <c r="Q29" s="8"/>
    </row>
    <row r="30" spans="1:28" ht="15" customHeight="1" x14ac:dyDescent="0.15">
      <c r="B30" s="3"/>
    </row>
  </sheetData>
  <mergeCells count="5">
    <mergeCell ref="V4:V5"/>
    <mergeCell ref="B4:B5"/>
    <mergeCell ref="A4:A5"/>
    <mergeCell ref="C4:F4"/>
    <mergeCell ref="A1:V1"/>
  </mergeCells>
  <phoneticPr fontId="1" type="noConversion"/>
  <pageMargins left="0.75" right="0.75" top="1" bottom="1" header="0.5" footer="0.5"/>
  <pageSetup paperSize="9" orientation="landscape" horizontalDpi="4294967292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2400-EA4F-46AF-8EC3-19BB6C6D2849}">
  <dimension ref="A1:AB34"/>
  <sheetViews>
    <sheetView showGridLines="0" zoomScaleNormal="100" workbookViewId="0">
      <selection activeCell="T4" sqref="T4:T9"/>
    </sheetView>
  </sheetViews>
  <sheetFormatPr defaultRowHeight="15" customHeight="1" x14ac:dyDescent="0.15"/>
  <cols>
    <col min="1" max="1" width="5.77734375" style="2" customWidth="1"/>
    <col min="2" max="2" width="15.77734375" style="2" customWidth="1"/>
    <col min="3" max="6" width="3.77734375" style="3" customWidth="1"/>
    <col min="7" max="7" width="7.77734375" style="3" customWidth="1"/>
    <col min="8" max="9" width="6.77734375" style="3" customWidth="1"/>
    <col min="10" max="11" width="7.77734375" style="3" customWidth="1"/>
    <col min="12" max="12" width="6.77734375" style="3" customWidth="1"/>
    <col min="13" max="14" width="7.77734375" style="3" customWidth="1"/>
    <col min="15" max="15" width="6.77734375" style="3" customWidth="1"/>
    <col min="16" max="16" width="7.77734375" style="3" customWidth="1"/>
    <col min="17" max="21" width="8.77734375" style="3" customWidth="1"/>
    <col min="22" max="22" width="12.77734375" style="3" customWidth="1"/>
    <col min="23" max="23" width="4.77734375" style="3" customWidth="1"/>
    <col min="24" max="24" width="7.33203125" style="3" customWidth="1"/>
    <col min="25" max="25" width="6.77734375" style="3" customWidth="1"/>
    <col min="26" max="26" width="7.77734375" style="3" customWidth="1"/>
    <col min="27" max="27" width="9.5546875" style="3" customWidth="1"/>
    <col min="28" max="28" width="4.77734375" style="3" customWidth="1"/>
    <col min="29" max="29" width="8.88671875" style="3" customWidth="1"/>
    <col min="30" max="16384" width="8.88671875" style="3"/>
  </cols>
  <sheetData>
    <row r="1" spans="1:28" s="1" customFormat="1" ht="15" customHeight="1" x14ac:dyDescent="0.15">
      <c r="A1" s="283" t="s">
        <v>238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5"/>
    </row>
    <row r="2" spans="1:28" s="1" customFormat="1" ht="15" customHeight="1" x14ac:dyDescent="0.15"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</row>
    <row r="3" spans="1:28" ht="15" customHeight="1" x14ac:dyDescent="0.15">
      <c r="I3" s="2" t="s">
        <v>194</v>
      </c>
      <c r="P3" s="2" t="s">
        <v>145</v>
      </c>
      <c r="R3" s="2" t="s">
        <v>122</v>
      </c>
      <c r="S3" s="2" t="s">
        <v>123</v>
      </c>
    </row>
    <row r="4" spans="1:28" s="2" customFormat="1" ht="15" customHeight="1" x14ac:dyDescent="0.15">
      <c r="A4" s="278" t="s">
        <v>64</v>
      </c>
      <c r="B4" s="278" t="s">
        <v>65</v>
      </c>
      <c r="C4" s="280" t="s">
        <v>17</v>
      </c>
      <c r="D4" s="281"/>
      <c r="E4" s="281"/>
      <c r="F4" s="282"/>
      <c r="G4" s="148" t="s">
        <v>66</v>
      </c>
      <c r="H4" s="148" t="s">
        <v>67</v>
      </c>
      <c r="I4" s="148" t="s">
        <v>195</v>
      </c>
      <c r="J4" s="148" t="s">
        <v>68</v>
      </c>
      <c r="K4" s="148" t="s">
        <v>69</v>
      </c>
      <c r="L4" s="148" t="s">
        <v>70</v>
      </c>
      <c r="M4" s="148" t="s">
        <v>71</v>
      </c>
      <c r="N4" s="148" t="s">
        <v>72</v>
      </c>
      <c r="O4" s="148" t="s">
        <v>73</v>
      </c>
      <c r="P4" s="148" t="s">
        <v>164</v>
      </c>
      <c r="Q4" s="149" t="s">
        <v>74</v>
      </c>
      <c r="R4" s="149" t="s">
        <v>74</v>
      </c>
      <c r="S4" s="149" t="s">
        <v>75</v>
      </c>
      <c r="T4" s="149" t="s">
        <v>76</v>
      </c>
      <c r="U4" s="148" t="s">
        <v>77</v>
      </c>
      <c r="V4" s="278" t="s">
        <v>78</v>
      </c>
    </row>
    <row r="5" spans="1:28" s="2" customFormat="1" ht="15" customHeight="1" x14ac:dyDescent="0.15">
      <c r="A5" s="279"/>
      <c r="B5" s="279"/>
      <c r="C5" s="147" t="s">
        <v>79</v>
      </c>
      <c r="D5" s="147" t="s">
        <v>80</v>
      </c>
      <c r="E5" s="147" t="s">
        <v>81</v>
      </c>
      <c r="F5" s="147" t="s">
        <v>82</v>
      </c>
      <c r="G5" s="150" t="s">
        <v>83</v>
      </c>
      <c r="H5" s="150" t="s">
        <v>84</v>
      </c>
      <c r="I5" s="150" t="s">
        <v>85</v>
      </c>
      <c r="J5" s="150" t="s">
        <v>86</v>
      </c>
      <c r="K5" s="150" t="s">
        <v>87</v>
      </c>
      <c r="L5" s="150" t="s">
        <v>85</v>
      </c>
      <c r="M5" s="150" t="s">
        <v>86</v>
      </c>
      <c r="N5" s="150" t="s">
        <v>87</v>
      </c>
      <c r="O5" s="150" t="s">
        <v>85</v>
      </c>
      <c r="P5" s="150" t="s">
        <v>86</v>
      </c>
      <c r="Q5" s="150" t="s">
        <v>88</v>
      </c>
      <c r="R5" s="150" t="s">
        <v>89</v>
      </c>
      <c r="S5" s="151" t="s">
        <v>90</v>
      </c>
      <c r="T5" s="151" t="s">
        <v>91</v>
      </c>
      <c r="U5" s="150" t="s">
        <v>84</v>
      </c>
      <c r="V5" s="279"/>
      <c r="AA5" s="2" t="s">
        <v>164</v>
      </c>
    </row>
    <row r="6" spans="1:28" s="5" customFormat="1" ht="15" customHeight="1" x14ac:dyDescent="0.15">
      <c r="A6" s="145"/>
      <c r="B6" s="152" t="s">
        <v>190</v>
      </c>
      <c r="C6" s="4">
        <v>100</v>
      </c>
      <c r="D6" s="4">
        <v>50</v>
      </c>
      <c r="E6" s="4">
        <v>5</v>
      </c>
      <c r="F6" s="4">
        <v>7.5</v>
      </c>
      <c r="G6" s="183">
        <f>9.36*9.80665/1000</f>
        <v>9.1790243999999993E-2</v>
      </c>
      <c r="H6" s="154">
        <f>11.92*100</f>
        <v>1192</v>
      </c>
      <c r="I6" s="153">
        <f t="shared" ref="I6:I9" si="0">((((F6*D6^3/12) + (((0.5*C6-F6)/3)*E6^3/12))/(D6*F6 + E6*(0.5*C6-F6)/3))^0.5)</f>
        <v>13.250080820302504</v>
      </c>
      <c r="J6" s="154">
        <f>1.88*10^6</f>
        <v>1880000</v>
      </c>
      <c r="K6" s="153">
        <v>37600</v>
      </c>
      <c r="L6" s="153">
        <v>39.700000000000003</v>
      </c>
      <c r="M6" s="154">
        <v>260000</v>
      </c>
      <c r="N6" s="153">
        <v>7520</v>
      </c>
      <c r="O6" s="153">
        <v>14.8</v>
      </c>
      <c r="P6" s="153">
        <f>1.721354*10^4</f>
        <v>17213.54</v>
      </c>
      <c r="Q6" s="146" t="str">
        <f>IF(D6/2/F6&lt;=170*SQRT(Input_disp_check!$C$6),"Compact","noncompact")</f>
        <v>Compact</v>
      </c>
      <c r="R6" s="146" t="str">
        <f>IF(C6/E6&lt;=((1680/Input_disp_check!$C$6^0.5)*(1-3.74*0.16)),"Compact","non Compact")</f>
        <v>Compact</v>
      </c>
      <c r="S6" s="146" t="str">
        <f>IF(((C6-2*F6)/E6)&lt;=(999.6*SQRT(Input_disp_check!$C$6)),"OK","Warning")</f>
        <v>OK</v>
      </c>
      <c r="T6" s="155">
        <f t="shared" ref="T6:U9" si="1">C6*E6</f>
        <v>500</v>
      </c>
      <c r="U6" s="153">
        <f t="shared" si="1"/>
        <v>375</v>
      </c>
      <c r="V6" s="4"/>
      <c r="W6" s="6"/>
      <c r="X6" s="6">
        <f>J6/(C6*0.5)</f>
        <v>37600</v>
      </c>
      <c r="Y6" s="6">
        <f>M6/(D6-Z6)</f>
        <v>7514.4508670520227</v>
      </c>
      <c r="Z6" s="6">
        <v>15.4</v>
      </c>
      <c r="AA6" s="6">
        <f>6.064916*10^4</f>
        <v>60649.16</v>
      </c>
      <c r="AB6" s="6"/>
    </row>
    <row r="7" spans="1:28" s="5" customFormat="1" ht="15" customHeight="1" x14ac:dyDescent="0.15">
      <c r="A7" s="145"/>
      <c r="B7" s="152" t="s">
        <v>191</v>
      </c>
      <c r="C7" s="4">
        <v>125</v>
      </c>
      <c r="D7" s="4">
        <v>65</v>
      </c>
      <c r="E7" s="4">
        <v>6</v>
      </c>
      <c r="F7" s="4">
        <v>8</v>
      </c>
      <c r="G7" s="183">
        <f>13.4*9.80665/1000</f>
        <v>0.13140911</v>
      </c>
      <c r="H7" s="154">
        <f>17.11*100</f>
        <v>1711</v>
      </c>
      <c r="I7" s="153">
        <f t="shared" si="0"/>
        <v>17.076016955395168</v>
      </c>
      <c r="J7" s="154">
        <v>4240000</v>
      </c>
      <c r="K7" s="153">
        <v>67800</v>
      </c>
      <c r="L7" s="153">
        <v>49.8</v>
      </c>
      <c r="M7" s="154">
        <v>618000</v>
      </c>
      <c r="N7" s="153">
        <v>13400</v>
      </c>
      <c r="O7" s="153">
        <v>19</v>
      </c>
      <c r="P7" s="153">
        <f>29586.66</f>
        <v>29586.66</v>
      </c>
      <c r="Q7" s="146" t="str">
        <f>IF(D7/2/F7&lt;=170*SQRT(Input_disp_check!$C$6),"Compact","noncompact")</f>
        <v>Compact</v>
      </c>
      <c r="R7" s="146" t="str">
        <f>IF(C7/E7&lt;=((1680/Input_disp_check!$C$6^0.5)*(1-3.74*0.16)),"Compact","non Compact")</f>
        <v>Compact</v>
      </c>
      <c r="S7" s="146" t="str">
        <f>IF(((C7-2*F7)/E7)&lt;=(999.6*SQRT(Input_disp_check!$C$6)),"OK","Warning")</f>
        <v>OK</v>
      </c>
      <c r="T7" s="155">
        <f t="shared" si="1"/>
        <v>750</v>
      </c>
      <c r="U7" s="153">
        <f t="shared" si="1"/>
        <v>520</v>
      </c>
      <c r="V7" s="4"/>
      <c r="W7" s="6"/>
      <c r="X7" s="6">
        <f>J7/(C7*0.5)</f>
        <v>67840</v>
      </c>
      <c r="Y7" s="6">
        <f t="shared" ref="Y7:Y9" si="2">M7/(D7-Z7)</f>
        <v>13434.782608695652</v>
      </c>
      <c r="Z7" s="6">
        <v>19</v>
      </c>
      <c r="AA7" s="6"/>
      <c r="AB7" s="6"/>
    </row>
    <row r="8" spans="1:28" s="5" customFormat="1" ht="15" customHeight="1" x14ac:dyDescent="0.15">
      <c r="A8" s="145"/>
      <c r="B8" s="152" t="s">
        <v>192</v>
      </c>
      <c r="C8" s="4">
        <v>150</v>
      </c>
      <c r="D8" s="4">
        <v>75</v>
      </c>
      <c r="E8" s="4">
        <v>6.5</v>
      </c>
      <c r="F8" s="4">
        <v>10</v>
      </c>
      <c r="G8" s="183">
        <f>18.6*9.80665/1000</f>
        <v>0.18240369000000001</v>
      </c>
      <c r="H8" s="154">
        <f>23.71*100</f>
        <v>2371</v>
      </c>
      <c r="I8" s="153">
        <f t="shared" si="0"/>
        <v>19.879666547330533</v>
      </c>
      <c r="J8" s="154">
        <v>8610000</v>
      </c>
      <c r="K8" s="153">
        <v>115000</v>
      </c>
      <c r="L8" s="153">
        <v>60.3</v>
      </c>
      <c r="M8" s="154">
        <v>1170000</v>
      </c>
      <c r="N8" s="153">
        <v>22400</v>
      </c>
      <c r="O8" s="153">
        <v>22.2</v>
      </c>
      <c r="P8" s="153">
        <f>6.064916*10^4</f>
        <v>60649.16</v>
      </c>
      <c r="Q8" s="146" t="str">
        <f>IF(D8/2/F8&lt;=170*SQRT(Input_disp_check!$C$6),"Compact","noncompact")</f>
        <v>Compact</v>
      </c>
      <c r="R8" s="146" t="str">
        <f>IF(C8/E8&lt;=((1680/Input_disp_check!$C$6^0.5)*(1-3.74*0.16)),"Compact","non Compact")</f>
        <v>Compact</v>
      </c>
      <c r="S8" s="146" t="str">
        <f>IF(((C8-2*F8)/E8)&lt;=(999.6*SQRT(Input_disp_check!$C$6)),"OK","Warning")</f>
        <v>OK</v>
      </c>
      <c r="T8" s="155">
        <f t="shared" si="1"/>
        <v>975</v>
      </c>
      <c r="U8" s="153">
        <f t="shared" si="1"/>
        <v>750</v>
      </c>
      <c r="V8" s="4"/>
      <c r="W8" s="6"/>
      <c r="X8" s="6">
        <f>J8/(C8*0.5)</f>
        <v>114800</v>
      </c>
      <c r="Y8" s="6">
        <f t="shared" si="2"/>
        <v>22413.793103448275</v>
      </c>
      <c r="Z8" s="6">
        <v>22.8</v>
      </c>
      <c r="AA8" s="6"/>
      <c r="AB8" s="6"/>
    </row>
    <row r="9" spans="1:28" s="5" customFormat="1" ht="15" customHeight="1" x14ac:dyDescent="0.15">
      <c r="A9" s="145"/>
      <c r="B9" s="152" t="s">
        <v>193</v>
      </c>
      <c r="C9" s="4">
        <v>200</v>
      </c>
      <c r="D9" s="4">
        <v>90</v>
      </c>
      <c r="E9" s="4">
        <v>8</v>
      </c>
      <c r="F9" s="4">
        <v>13.5</v>
      </c>
      <c r="G9" s="183">
        <f>30.3*9.80665/1000</f>
        <v>0.29714149499999998</v>
      </c>
      <c r="H9" s="154">
        <f>38.65*100</f>
        <v>3865</v>
      </c>
      <c r="I9" s="153">
        <f t="shared" si="0"/>
        <v>23.835893025565152</v>
      </c>
      <c r="J9" s="154">
        <v>24900000</v>
      </c>
      <c r="K9" s="153">
        <v>249000</v>
      </c>
      <c r="L9" s="153">
        <v>80.2</v>
      </c>
      <c r="M9" s="154">
        <v>2770000</v>
      </c>
      <c r="N9" s="153">
        <v>44200</v>
      </c>
      <c r="O9" s="153">
        <v>26.8</v>
      </c>
      <c r="P9" s="153">
        <v>172890.8</v>
      </c>
      <c r="Q9" s="146" t="str">
        <f>IF(D9/2/F9&lt;=170*SQRT(Input_disp_check!$C$6),"Compact","noncompact")</f>
        <v>Compact</v>
      </c>
      <c r="R9" s="146" t="str">
        <f>IF(C9/E9&lt;=((1680/Input_disp_check!$C$6^0.5)*(1-3.74*0.16)),"Compact","non Compact")</f>
        <v>Compact</v>
      </c>
      <c r="S9" s="146" t="str">
        <f>IF(((C9-2*F9)/E9)&lt;=(999.6*SQRT(Input_disp_check!$C$6)),"OK","Warning")</f>
        <v>OK</v>
      </c>
      <c r="T9" s="155">
        <f t="shared" si="1"/>
        <v>1600</v>
      </c>
      <c r="U9" s="153">
        <f t="shared" si="1"/>
        <v>1215</v>
      </c>
      <c r="V9" s="4"/>
      <c r="W9" s="6"/>
      <c r="X9" s="6">
        <f>J9/(C9*0.5)</f>
        <v>249000</v>
      </c>
      <c r="Y9" s="6">
        <f t="shared" si="2"/>
        <v>44249.201277955268</v>
      </c>
      <c r="Z9" s="6">
        <v>27.4</v>
      </c>
      <c r="AA9" s="6"/>
      <c r="AB9" s="6"/>
    </row>
    <row r="10" spans="1:28" s="5" customFormat="1" ht="15" customHeight="1" x14ac:dyDescent="0.15">
      <c r="A10" s="145"/>
      <c r="B10" s="152"/>
      <c r="C10" s="4"/>
      <c r="D10" s="4"/>
      <c r="E10" s="4"/>
      <c r="F10" s="4"/>
      <c r="G10" s="183"/>
      <c r="H10" s="154"/>
      <c r="I10" s="153"/>
      <c r="J10" s="154"/>
      <c r="K10" s="153"/>
      <c r="L10" s="153"/>
      <c r="M10" s="154"/>
      <c r="N10" s="153"/>
      <c r="O10" s="153"/>
      <c r="P10" s="153"/>
      <c r="Q10" s="146"/>
      <c r="R10" s="146"/>
      <c r="S10" s="146"/>
      <c r="T10" s="155"/>
      <c r="U10" s="153"/>
      <c r="V10" s="4"/>
      <c r="W10" s="6"/>
      <c r="X10" s="6"/>
      <c r="Y10" s="6"/>
      <c r="Z10" s="6"/>
      <c r="AA10" s="6"/>
      <c r="AB10" s="6"/>
    </row>
    <row r="11" spans="1:28" s="5" customFormat="1" ht="15" customHeight="1" x14ac:dyDescent="0.15">
      <c r="A11" s="145"/>
      <c r="B11" s="152"/>
      <c r="C11" s="4"/>
      <c r="D11" s="4"/>
      <c r="E11" s="4"/>
      <c r="F11" s="4"/>
      <c r="G11" s="183"/>
      <c r="H11" s="154"/>
      <c r="I11" s="153"/>
      <c r="J11" s="154"/>
      <c r="K11" s="153"/>
      <c r="L11" s="153"/>
      <c r="M11" s="154"/>
      <c r="N11" s="153"/>
      <c r="O11" s="153"/>
      <c r="P11" s="153"/>
      <c r="Q11" s="146"/>
      <c r="R11" s="146"/>
      <c r="S11" s="146"/>
      <c r="T11" s="155"/>
      <c r="U11" s="153"/>
      <c r="V11" s="4"/>
      <c r="W11" s="6"/>
      <c r="X11" s="6"/>
      <c r="Y11" s="6"/>
      <c r="Z11" s="6"/>
      <c r="AA11" s="6"/>
      <c r="AB11" s="6"/>
    </row>
    <row r="12" spans="1:28" s="5" customFormat="1" ht="15" customHeight="1" x14ac:dyDescent="0.15">
      <c r="A12" s="145"/>
      <c r="B12" s="152"/>
      <c r="C12" s="4"/>
      <c r="D12" s="4"/>
      <c r="E12" s="4"/>
      <c r="F12" s="4"/>
      <c r="G12" s="183"/>
      <c r="H12" s="154"/>
      <c r="I12" s="153"/>
      <c r="J12" s="154"/>
      <c r="K12" s="153"/>
      <c r="L12" s="153"/>
      <c r="M12" s="154"/>
      <c r="N12" s="153"/>
      <c r="O12" s="153"/>
      <c r="P12" s="153"/>
      <c r="Q12" s="146"/>
      <c r="R12" s="146"/>
      <c r="S12" s="146"/>
      <c r="T12" s="155"/>
      <c r="U12" s="153"/>
      <c r="V12" s="4"/>
      <c r="W12" s="6"/>
      <c r="X12" s="6"/>
      <c r="Y12" s="6"/>
      <c r="Z12" s="6"/>
      <c r="AA12" s="6"/>
      <c r="AB12" s="6"/>
    </row>
    <row r="13" spans="1:28" s="5" customFormat="1" ht="15" customHeight="1" x14ac:dyDescent="0.15">
      <c r="A13" s="145"/>
      <c r="B13" s="152"/>
      <c r="C13" s="4"/>
      <c r="D13" s="4"/>
      <c r="E13" s="4"/>
      <c r="F13" s="4"/>
      <c r="G13" s="153"/>
      <c r="H13" s="154"/>
      <c r="I13" s="153"/>
      <c r="J13" s="154"/>
      <c r="K13" s="153"/>
      <c r="L13" s="153"/>
      <c r="M13" s="154"/>
      <c r="N13" s="153"/>
      <c r="O13" s="153"/>
      <c r="P13" s="153"/>
      <c r="Q13" s="146"/>
      <c r="R13" s="146"/>
      <c r="S13" s="146"/>
      <c r="T13" s="155"/>
      <c r="U13" s="153"/>
      <c r="V13" s="4"/>
      <c r="W13" s="6"/>
      <c r="X13" s="6"/>
      <c r="Y13" s="6"/>
      <c r="Z13" s="3"/>
      <c r="AA13" s="6"/>
      <c r="AB13" s="6"/>
    </row>
    <row r="14" spans="1:28" s="5" customFormat="1" ht="15" customHeight="1" x14ac:dyDescent="0.15">
      <c r="A14" s="145"/>
      <c r="B14" s="152"/>
      <c r="C14" s="4"/>
      <c r="D14" s="4"/>
      <c r="E14" s="4"/>
      <c r="F14" s="4"/>
      <c r="G14" s="153"/>
      <c r="H14" s="154"/>
      <c r="I14" s="153"/>
      <c r="J14" s="154"/>
      <c r="K14" s="153"/>
      <c r="L14" s="153"/>
      <c r="M14" s="154"/>
      <c r="N14" s="153"/>
      <c r="O14" s="153"/>
      <c r="P14" s="153"/>
      <c r="Q14" s="146"/>
      <c r="R14" s="146"/>
      <c r="S14" s="146"/>
      <c r="T14" s="155"/>
      <c r="U14" s="153"/>
      <c r="V14" s="4"/>
      <c r="W14" s="6"/>
      <c r="X14" s="6"/>
      <c r="Y14" s="6"/>
      <c r="Z14" s="6"/>
      <c r="AA14" s="6"/>
      <c r="AB14" s="6"/>
    </row>
    <row r="15" spans="1:28" s="5" customFormat="1" ht="15" customHeight="1" x14ac:dyDescent="0.15">
      <c r="A15" s="145"/>
      <c r="B15" s="152"/>
      <c r="C15" s="4"/>
      <c r="D15" s="4"/>
      <c r="E15" s="4"/>
      <c r="F15" s="4"/>
      <c r="G15" s="153"/>
      <c r="H15" s="154"/>
      <c r="I15" s="153"/>
      <c r="J15" s="154"/>
      <c r="K15" s="153"/>
      <c r="L15" s="153"/>
      <c r="M15" s="154"/>
      <c r="N15" s="153"/>
      <c r="O15" s="153"/>
      <c r="P15" s="153"/>
      <c r="Q15" s="146"/>
      <c r="R15" s="146"/>
      <c r="S15" s="146"/>
      <c r="T15" s="155"/>
      <c r="U15" s="153"/>
      <c r="V15" s="4"/>
      <c r="W15" s="6"/>
      <c r="X15" s="6"/>
      <c r="Y15" s="6"/>
      <c r="Z15" s="6"/>
      <c r="AA15" s="6"/>
      <c r="AB15" s="6"/>
    </row>
    <row r="16" spans="1:28" s="5" customFormat="1" ht="15" customHeight="1" x14ac:dyDescent="0.15">
      <c r="A16" s="145"/>
      <c r="B16" s="152"/>
      <c r="C16" s="4"/>
      <c r="D16" s="4"/>
      <c r="E16" s="4"/>
      <c r="F16" s="4"/>
      <c r="G16" s="153"/>
      <c r="H16" s="154"/>
      <c r="I16" s="153"/>
      <c r="J16" s="154"/>
      <c r="K16" s="153"/>
      <c r="L16" s="153"/>
      <c r="M16" s="154"/>
      <c r="N16" s="153"/>
      <c r="O16" s="153"/>
      <c r="P16" s="153"/>
      <c r="Q16" s="146"/>
      <c r="R16" s="146"/>
      <c r="S16" s="146"/>
      <c r="T16" s="155"/>
      <c r="U16" s="153"/>
      <c r="V16" s="4"/>
      <c r="W16" s="6"/>
      <c r="X16" s="6"/>
      <c r="Y16" s="6"/>
      <c r="Z16" s="6"/>
      <c r="AA16" s="6"/>
      <c r="AB16" s="6"/>
    </row>
    <row r="17" spans="1:28" s="5" customFormat="1" ht="15" customHeight="1" x14ac:dyDescent="0.15">
      <c r="A17" s="145"/>
      <c r="B17" s="152"/>
      <c r="C17" s="4"/>
      <c r="D17" s="4"/>
      <c r="E17" s="4"/>
      <c r="F17" s="4"/>
      <c r="G17" s="153"/>
      <c r="H17" s="154"/>
      <c r="I17" s="153"/>
      <c r="J17" s="154"/>
      <c r="K17" s="153"/>
      <c r="L17" s="153"/>
      <c r="M17" s="154"/>
      <c r="N17" s="153"/>
      <c r="O17" s="153"/>
      <c r="P17" s="153"/>
      <c r="Q17" s="146"/>
      <c r="R17" s="146"/>
      <c r="S17" s="146"/>
      <c r="T17" s="155"/>
      <c r="U17" s="153"/>
      <c r="V17" s="4"/>
      <c r="W17" s="6"/>
      <c r="X17" s="6"/>
      <c r="Y17" s="6"/>
      <c r="Z17" s="6"/>
      <c r="AA17" s="6"/>
      <c r="AB17" s="6"/>
    </row>
    <row r="18" spans="1:28" s="5" customFormat="1" ht="15" customHeight="1" x14ac:dyDescent="0.15">
      <c r="A18" s="145"/>
      <c r="B18" s="152"/>
      <c r="C18" s="4"/>
      <c r="D18" s="4"/>
      <c r="E18" s="4"/>
      <c r="F18" s="4"/>
      <c r="G18" s="153"/>
      <c r="H18" s="154"/>
      <c r="I18" s="153"/>
      <c r="J18" s="154"/>
      <c r="K18" s="153"/>
      <c r="L18" s="153"/>
      <c r="M18" s="154"/>
      <c r="N18" s="153"/>
      <c r="O18" s="153"/>
      <c r="P18" s="153"/>
      <c r="Q18" s="146"/>
      <c r="R18" s="146"/>
      <c r="S18" s="146"/>
      <c r="T18" s="155"/>
      <c r="U18" s="153"/>
      <c r="V18" s="4"/>
      <c r="W18" s="6"/>
      <c r="X18" s="6"/>
      <c r="Y18" s="6"/>
      <c r="Z18" s="6"/>
      <c r="AA18" s="6"/>
      <c r="AB18" s="6"/>
    </row>
    <row r="19" spans="1:28" s="5" customFormat="1" ht="15" customHeight="1" x14ac:dyDescent="0.15">
      <c r="A19" s="145"/>
      <c r="B19" s="152"/>
      <c r="C19" s="4"/>
      <c r="D19" s="4"/>
      <c r="E19" s="4"/>
      <c r="F19" s="4"/>
      <c r="G19" s="153"/>
      <c r="H19" s="154"/>
      <c r="I19" s="153"/>
      <c r="J19" s="154"/>
      <c r="K19" s="153"/>
      <c r="L19" s="153"/>
      <c r="M19" s="154"/>
      <c r="N19" s="153"/>
      <c r="O19" s="153"/>
      <c r="P19" s="153"/>
      <c r="Q19" s="146"/>
      <c r="R19" s="146"/>
      <c r="S19" s="146"/>
      <c r="T19" s="155"/>
      <c r="U19" s="153"/>
      <c r="V19" s="4"/>
      <c r="W19" s="6"/>
      <c r="X19" s="6"/>
      <c r="Y19" s="6"/>
      <c r="Z19" s="6"/>
      <c r="AA19" s="6"/>
      <c r="AB19" s="6"/>
    </row>
    <row r="20" spans="1:28" s="5" customFormat="1" ht="15" customHeight="1" x14ac:dyDescent="0.15">
      <c r="A20" s="145"/>
      <c r="B20" s="152"/>
      <c r="C20" s="4"/>
      <c r="D20" s="4"/>
      <c r="E20" s="4"/>
      <c r="F20" s="4"/>
      <c r="G20" s="153"/>
      <c r="H20" s="154"/>
      <c r="I20" s="153"/>
      <c r="J20" s="154"/>
      <c r="K20" s="153"/>
      <c r="L20" s="153"/>
      <c r="M20" s="154"/>
      <c r="N20" s="153"/>
      <c r="O20" s="153"/>
      <c r="P20" s="153"/>
      <c r="Q20" s="146"/>
      <c r="R20" s="146"/>
      <c r="S20" s="146"/>
      <c r="T20" s="155"/>
      <c r="U20" s="153"/>
      <c r="V20" s="4"/>
      <c r="W20" s="6"/>
      <c r="X20" s="6"/>
      <c r="Y20" s="6"/>
      <c r="Z20" s="6"/>
      <c r="AA20" s="6"/>
      <c r="AB20" s="6"/>
    </row>
    <row r="25" spans="1:28" ht="15" customHeight="1" x14ac:dyDescent="0.15">
      <c r="A25" s="123" t="s">
        <v>163</v>
      </c>
    </row>
    <row r="26" spans="1:28" ht="15" customHeight="1" x14ac:dyDescent="0.15">
      <c r="A26" s="124"/>
    </row>
    <row r="27" spans="1:28" ht="15" customHeight="1" x14ac:dyDescent="0.15">
      <c r="A27" s="123" t="s">
        <v>124</v>
      </c>
      <c r="S27" s="176"/>
    </row>
    <row r="28" spans="1:28" ht="15" customHeight="1" x14ac:dyDescent="0.15">
      <c r="A28" s="125" t="s">
        <v>162</v>
      </c>
      <c r="S28" s="176"/>
    </row>
    <row r="29" spans="1:28" ht="15" customHeight="1" x14ac:dyDescent="0.15">
      <c r="A29" s="125"/>
    </row>
    <row r="30" spans="1:28" ht="15" customHeight="1" x14ac:dyDescent="0.15">
      <c r="A30" s="123" t="s">
        <v>181</v>
      </c>
      <c r="B30" s="3"/>
      <c r="R30" s="7"/>
    </row>
    <row r="31" spans="1:28" ht="15" customHeight="1" x14ac:dyDescent="0.15">
      <c r="B31" s="3"/>
    </row>
    <row r="32" spans="1:28" ht="15" customHeight="1" x14ac:dyDescent="0.15">
      <c r="A32" s="123" t="s">
        <v>196</v>
      </c>
      <c r="B32" s="3"/>
      <c r="Q32" s="8"/>
    </row>
    <row r="33" spans="2:10" ht="15" customHeight="1" x14ac:dyDescent="0.15">
      <c r="B33" s="3"/>
    </row>
    <row r="34" spans="2:10" ht="15" customHeight="1" x14ac:dyDescent="0.15">
      <c r="J34" s="3">
        <v>9.8066499999999994</v>
      </c>
    </row>
  </sheetData>
  <mergeCells count="5">
    <mergeCell ref="A1:V1"/>
    <mergeCell ref="A4:A5"/>
    <mergeCell ref="B4:B5"/>
    <mergeCell ref="C4:F4"/>
    <mergeCell ref="V4:V5"/>
  </mergeCells>
  <phoneticPr fontId="1" type="noConversion"/>
  <pageMargins left="0.75" right="0.75" top="1" bottom="1" header="0.5" footer="0.5"/>
  <pageSetup paperSize="9" orientation="landscape" horizontalDpi="4294967292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A0F8-FBA3-4386-B898-5BF0AD175B11}">
  <dimension ref="A1:AR33"/>
  <sheetViews>
    <sheetView showGridLines="0" zoomScale="85" zoomScaleNormal="85" workbookViewId="0">
      <selection activeCell="P23" sqref="P23"/>
    </sheetView>
  </sheetViews>
  <sheetFormatPr defaultRowHeight="15" customHeight="1" x14ac:dyDescent="0.15"/>
  <cols>
    <col min="1" max="1" width="5.77734375" style="2" customWidth="1"/>
    <col min="2" max="2" width="15.77734375" style="2" customWidth="1"/>
    <col min="3" max="6" width="3.77734375" style="3" customWidth="1"/>
    <col min="7" max="7" width="7.77734375" style="3" customWidth="1"/>
    <col min="8" max="9" width="6.77734375" style="3" customWidth="1"/>
    <col min="10" max="11" width="7.77734375" style="3" customWidth="1"/>
    <col min="12" max="12" width="6.77734375" style="3" customWidth="1"/>
    <col min="13" max="14" width="7.77734375" style="3" customWidth="1"/>
    <col min="15" max="15" width="6.77734375" style="3" customWidth="1"/>
    <col min="16" max="17" width="7.77734375" style="3" customWidth="1"/>
    <col min="18" max="33" width="8.77734375" style="3" customWidth="1"/>
    <col min="34" max="34" width="12.77734375" style="3" customWidth="1"/>
    <col min="35" max="35" width="4.77734375" style="3" customWidth="1"/>
    <col min="36" max="39" width="8.77734375" style="3" customWidth="1"/>
    <col min="40" max="40" width="4.77734375" style="3" customWidth="1"/>
    <col min="41" max="41" width="8.88671875" style="3" customWidth="1"/>
    <col min="42" max="16384" width="8.88671875" style="3"/>
  </cols>
  <sheetData>
    <row r="1" spans="1:44" s="1" customFormat="1" ht="15" customHeight="1" x14ac:dyDescent="0.15">
      <c r="A1" s="283" t="s">
        <v>239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4"/>
      <c r="AE1" s="284"/>
      <c r="AF1" s="284"/>
      <c r="AG1" s="284"/>
      <c r="AH1" s="285"/>
    </row>
    <row r="2" spans="1:44" s="1" customFormat="1" ht="15" customHeight="1" x14ac:dyDescent="0.15"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</row>
    <row r="3" spans="1:44" ht="15" customHeight="1" x14ac:dyDescent="0.15">
      <c r="I3" s="2" t="s">
        <v>194</v>
      </c>
      <c r="P3" s="2" t="s">
        <v>145</v>
      </c>
      <c r="Q3" s="2"/>
      <c r="V3" s="2" t="s">
        <v>122</v>
      </c>
      <c r="W3" s="2"/>
      <c r="X3" s="2"/>
      <c r="Y3" s="2"/>
      <c r="Z3" s="2"/>
      <c r="AA3" s="2"/>
      <c r="AB3" s="2"/>
      <c r="AC3" s="2"/>
      <c r="AD3" s="2"/>
      <c r="AE3" s="2"/>
    </row>
    <row r="4" spans="1:44" s="2" customFormat="1" ht="15" customHeight="1" x14ac:dyDescent="0.15">
      <c r="A4" s="278" t="s">
        <v>64</v>
      </c>
      <c r="B4" s="278" t="s">
        <v>65</v>
      </c>
      <c r="C4" s="280" t="s">
        <v>17</v>
      </c>
      <c r="D4" s="281"/>
      <c r="E4" s="281"/>
      <c r="F4" s="282"/>
      <c r="G4" s="148" t="s">
        <v>66</v>
      </c>
      <c r="H4" s="148" t="s">
        <v>67</v>
      </c>
      <c r="I4" s="148" t="s">
        <v>195</v>
      </c>
      <c r="J4" s="148" t="s">
        <v>68</v>
      </c>
      <c r="K4" s="148" t="s">
        <v>69</v>
      </c>
      <c r="L4" s="148" t="s">
        <v>70</v>
      </c>
      <c r="M4" s="148" t="s">
        <v>71</v>
      </c>
      <c r="N4" s="148" t="s">
        <v>72</v>
      </c>
      <c r="O4" s="148" t="s">
        <v>73</v>
      </c>
      <c r="P4" s="148" t="s">
        <v>164</v>
      </c>
      <c r="Q4" s="149" t="s">
        <v>76</v>
      </c>
      <c r="R4" s="286" t="s">
        <v>237</v>
      </c>
      <c r="S4" s="286" t="s">
        <v>243</v>
      </c>
      <c r="T4" s="286" t="s">
        <v>244</v>
      </c>
      <c r="U4" s="286" t="s">
        <v>245</v>
      </c>
      <c r="V4" s="286" t="s">
        <v>241</v>
      </c>
      <c r="W4" s="286" t="s">
        <v>252</v>
      </c>
      <c r="X4" s="286" t="s">
        <v>250</v>
      </c>
      <c r="Y4" s="286" t="s">
        <v>255</v>
      </c>
      <c r="Z4" s="195" t="s">
        <v>249</v>
      </c>
      <c r="AA4" s="148" t="s">
        <v>254</v>
      </c>
      <c r="AB4" s="148" t="s">
        <v>258</v>
      </c>
      <c r="AC4" s="148" t="s">
        <v>256</v>
      </c>
      <c r="AD4" s="148" t="s">
        <v>257</v>
      </c>
      <c r="AE4" s="149"/>
      <c r="AF4" s="149"/>
      <c r="AG4" s="148"/>
      <c r="AH4" s="278" t="s">
        <v>78</v>
      </c>
      <c r="AJ4" s="288" t="s">
        <v>259</v>
      </c>
      <c r="AK4" s="288" t="s">
        <v>260</v>
      </c>
      <c r="AL4" s="290"/>
      <c r="AM4" s="290"/>
    </row>
    <row r="5" spans="1:44" s="2" customFormat="1" ht="15" customHeight="1" x14ac:dyDescent="0.15">
      <c r="A5" s="279"/>
      <c r="B5" s="279"/>
      <c r="C5" s="147" t="s">
        <v>79</v>
      </c>
      <c r="D5" s="147" t="s">
        <v>234</v>
      </c>
      <c r="E5" s="147" t="s">
        <v>235</v>
      </c>
      <c r="F5" s="147" t="s">
        <v>236</v>
      </c>
      <c r="G5" s="150" t="s">
        <v>83</v>
      </c>
      <c r="H5" s="150" t="s">
        <v>84</v>
      </c>
      <c r="I5" s="150" t="s">
        <v>85</v>
      </c>
      <c r="J5" s="150" t="s">
        <v>86</v>
      </c>
      <c r="K5" s="150" t="s">
        <v>87</v>
      </c>
      <c r="L5" s="150" t="s">
        <v>85</v>
      </c>
      <c r="M5" s="150" t="s">
        <v>86</v>
      </c>
      <c r="N5" s="150" t="s">
        <v>87</v>
      </c>
      <c r="O5" s="150" t="s">
        <v>85</v>
      </c>
      <c r="P5" s="150" t="s">
        <v>86</v>
      </c>
      <c r="Q5" s="151" t="s">
        <v>91</v>
      </c>
      <c r="R5" s="287"/>
      <c r="S5" s="287"/>
      <c r="T5" s="287"/>
      <c r="U5" s="287"/>
      <c r="V5" s="287"/>
      <c r="W5" s="287"/>
      <c r="X5" s="287"/>
      <c r="Y5" s="287"/>
      <c r="Z5" s="196" t="s">
        <v>253</v>
      </c>
      <c r="AA5" s="150" t="s">
        <v>86</v>
      </c>
      <c r="AB5" s="150" t="s">
        <v>86</v>
      </c>
      <c r="AC5" s="150"/>
      <c r="AD5" s="150"/>
      <c r="AE5" s="151"/>
      <c r="AF5" s="151"/>
      <c r="AG5" s="150"/>
      <c r="AH5" s="279"/>
      <c r="AJ5" s="289"/>
      <c r="AK5" s="289"/>
      <c r="AL5" s="290"/>
      <c r="AM5" s="290"/>
    </row>
    <row r="6" spans="1:44" s="5" customFormat="1" ht="15" customHeight="1" x14ac:dyDescent="0.15">
      <c r="A6" s="145"/>
      <c r="B6" s="152" t="s">
        <v>230</v>
      </c>
      <c r="C6" s="4">
        <v>50</v>
      </c>
      <c r="D6" s="4">
        <v>50</v>
      </c>
      <c r="E6" s="4">
        <v>6</v>
      </c>
      <c r="F6" s="4">
        <v>6</v>
      </c>
      <c r="G6" s="192">
        <f>4.43*9.80665/1000</f>
        <v>4.3443459499999997E-2</v>
      </c>
      <c r="H6" s="193">
        <f>5.644*100</f>
        <v>564.4</v>
      </c>
      <c r="I6" s="175"/>
      <c r="J6" s="193">
        <f>12.6*10^4</f>
        <v>126000</v>
      </c>
      <c r="K6" s="193">
        <f>3.55*10^3</f>
        <v>3550</v>
      </c>
      <c r="L6" s="194">
        <v>15</v>
      </c>
      <c r="M6" s="193">
        <f t="shared" ref="M6:O8" si="0">J6</f>
        <v>126000</v>
      </c>
      <c r="N6" s="194">
        <f t="shared" si="0"/>
        <v>3550</v>
      </c>
      <c r="O6" s="194">
        <f t="shared" si="0"/>
        <v>15</v>
      </c>
      <c r="P6" s="194">
        <v>6800</v>
      </c>
      <c r="Q6" s="155">
        <f>(C6-F6)*E6</f>
        <v>264</v>
      </c>
      <c r="R6" s="146">
        <f>D6/F6</f>
        <v>8.3333333333333339</v>
      </c>
      <c r="S6" s="146">
        <f>171/SQRT(Input_disp_check!$C$6)</f>
        <v>10.311687984559516</v>
      </c>
      <c r="T6" s="146">
        <f>200/SQRT(Input_disp_check!$C$6)</f>
        <v>12.060453783110544</v>
      </c>
      <c r="U6" s="146">
        <f>407/SQRT(Input_disp_check!$C$6)</f>
        <v>24.543023448629956</v>
      </c>
      <c r="V6" s="146">
        <f>IF(R6&lt;T6,1,"Warning")</f>
        <v>1</v>
      </c>
      <c r="W6" s="208">
        <v>14.4</v>
      </c>
      <c r="X6" s="146">
        <f>W6-F6/2</f>
        <v>11.4</v>
      </c>
      <c r="Y6" s="146">
        <f>(X6^2+X6^2+(J6+M6)/H6)</f>
        <v>706.41184975194892</v>
      </c>
      <c r="Z6" s="146">
        <f>Input_disp_check!$C$10*F6^2/(3*Y6)</f>
        <v>1372.0477219784848</v>
      </c>
      <c r="AA6" s="194">
        <f>20*10^4</f>
        <v>200000</v>
      </c>
      <c r="AB6" s="194">
        <f>5.23*10^4</f>
        <v>52300.000000000007</v>
      </c>
      <c r="AC6" s="194">
        <v>18.8</v>
      </c>
      <c r="AD6" s="194">
        <v>9.6300000000000008</v>
      </c>
      <c r="AE6" s="146"/>
      <c r="AF6" s="155"/>
      <c r="AG6" s="153"/>
      <c r="AH6" s="4"/>
      <c r="AI6" s="6"/>
      <c r="AJ6" s="197">
        <f>2*D6*F6^3/3</f>
        <v>7200</v>
      </c>
      <c r="AK6" s="197">
        <f>F6^2*H6/3</f>
        <v>6772.7999999999993</v>
      </c>
      <c r="AL6" s="197"/>
      <c r="AM6" s="197"/>
      <c r="AN6" s="6"/>
    </row>
    <row r="7" spans="1:44" s="5" customFormat="1" ht="15" customHeight="1" x14ac:dyDescent="0.15">
      <c r="A7" s="145"/>
      <c r="B7" s="152" t="s">
        <v>231</v>
      </c>
      <c r="C7" s="4">
        <v>65</v>
      </c>
      <c r="D7" s="4">
        <v>65</v>
      </c>
      <c r="E7" s="4">
        <v>6</v>
      </c>
      <c r="F7" s="4">
        <v>6</v>
      </c>
      <c r="G7" s="192">
        <f>5.91*9.80665/1000</f>
        <v>5.7957301500000002E-2</v>
      </c>
      <c r="H7" s="193">
        <f>7.527*100</f>
        <v>752.7</v>
      </c>
      <c r="I7" s="175"/>
      <c r="J7" s="193">
        <f>29.4*10^4</f>
        <v>294000</v>
      </c>
      <c r="K7" s="193">
        <f>6.26*10^3</f>
        <v>6260</v>
      </c>
      <c r="L7" s="194">
        <v>19.8</v>
      </c>
      <c r="M7" s="193">
        <f t="shared" si="0"/>
        <v>294000</v>
      </c>
      <c r="N7" s="194">
        <f t="shared" si="0"/>
        <v>6260</v>
      </c>
      <c r="O7" s="194">
        <f t="shared" si="0"/>
        <v>19.8</v>
      </c>
      <c r="P7" s="194">
        <v>8900</v>
      </c>
      <c r="Q7" s="155">
        <f t="shared" ref="Q7:Q8" si="1">(C7-F7)*E7</f>
        <v>354</v>
      </c>
      <c r="R7" s="146">
        <f>D7/F7</f>
        <v>10.833333333333334</v>
      </c>
      <c r="S7" s="146">
        <f>171/SQRT(Input_disp_check!$C$6)</f>
        <v>10.311687984559516</v>
      </c>
      <c r="T7" s="146">
        <f>200/SQRT(Input_disp_check!$C$6)</f>
        <v>12.060453783110544</v>
      </c>
      <c r="U7" s="146">
        <f>407/SQRT(Input_disp_check!$C$6)</f>
        <v>24.543023448629956</v>
      </c>
      <c r="V7" s="146">
        <f>IF(R7&lt;T7,1,"Warning")</f>
        <v>1</v>
      </c>
      <c r="W7" s="208">
        <v>18.100000000000001</v>
      </c>
      <c r="X7" s="146">
        <f>W7-F7/2</f>
        <v>15.100000000000001</v>
      </c>
      <c r="Y7" s="146">
        <f>(X7^2+X7^2+(J7+M7)/H7)</f>
        <v>1237.2077241929055</v>
      </c>
      <c r="Z7" s="146">
        <f>Input_disp_check!$C$10*F7^2/(3*Y7)</f>
        <v>783.40180899133043</v>
      </c>
      <c r="AA7" s="194">
        <f>46.6*10^4</f>
        <v>466000</v>
      </c>
      <c r="AB7" s="194">
        <f>12.2*10^4</f>
        <v>122000</v>
      </c>
      <c r="AC7" s="194">
        <v>24.9</v>
      </c>
      <c r="AD7" s="194">
        <v>12.7</v>
      </c>
      <c r="AE7" s="146"/>
      <c r="AF7" s="155"/>
      <c r="AG7" s="153"/>
      <c r="AH7" s="4"/>
      <c r="AI7" s="6"/>
      <c r="AJ7" s="197">
        <f>2*D7*F7^3/3</f>
        <v>9360</v>
      </c>
      <c r="AK7" s="197">
        <f>F7^2*H7/3</f>
        <v>9032.4</v>
      </c>
      <c r="AL7" s="197"/>
      <c r="AM7" s="197"/>
      <c r="AN7" s="6"/>
    </row>
    <row r="8" spans="1:44" s="5" customFormat="1" ht="15" customHeight="1" x14ac:dyDescent="0.15">
      <c r="A8" s="145"/>
      <c r="B8" s="152" t="s">
        <v>232</v>
      </c>
      <c r="C8" s="4">
        <v>75</v>
      </c>
      <c r="D8" s="4">
        <v>75</v>
      </c>
      <c r="E8" s="4">
        <v>9</v>
      </c>
      <c r="F8" s="4">
        <v>9</v>
      </c>
      <c r="G8" s="192">
        <f>9.96*9.80665/1000</f>
        <v>9.7674233999999999E-2</v>
      </c>
      <c r="H8" s="193">
        <f>12.69*100</f>
        <v>1269</v>
      </c>
      <c r="I8" s="175"/>
      <c r="J8" s="193">
        <f>64.4*10^4</f>
        <v>644000</v>
      </c>
      <c r="K8" s="193">
        <f>12.1*10^3</f>
        <v>12100</v>
      </c>
      <c r="L8" s="194">
        <v>22.5</v>
      </c>
      <c r="M8" s="193">
        <f t="shared" si="0"/>
        <v>644000</v>
      </c>
      <c r="N8" s="194">
        <f t="shared" si="0"/>
        <v>12100</v>
      </c>
      <c r="O8" s="194">
        <f t="shared" si="0"/>
        <v>22.5</v>
      </c>
      <c r="P8" s="194">
        <v>34300</v>
      </c>
      <c r="Q8" s="155">
        <f t="shared" si="1"/>
        <v>594</v>
      </c>
      <c r="R8" s="146">
        <f>D8/F8</f>
        <v>8.3333333333333339</v>
      </c>
      <c r="S8" s="146">
        <f>171/SQRT(Input_disp_check!$C$6)</f>
        <v>10.311687984559516</v>
      </c>
      <c r="T8" s="146">
        <f>200/SQRT(Input_disp_check!$C$6)</f>
        <v>12.060453783110544</v>
      </c>
      <c r="U8" s="146">
        <f>407/SQRT(Input_disp_check!$C$6)</f>
        <v>24.543023448629956</v>
      </c>
      <c r="V8" s="146">
        <f>IF(R8&lt;T8,1,"Warning")</f>
        <v>1</v>
      </c>
      <c r="W8" s="208">
        <v>21.7</v>
      </c>
      <c r="X8" s="146">
        <f>W8-F8/2</f>
        <v>17.2</v>
      </c>
      <c r="Y8" s="146">
        <f>(X8^2+X8^2+(J8+M8)/H8)</f>
        <v>1606.6524192277384</v>
      </c>
      <c r="Z8" s="146">
        <f>Input_disp_check!$C$10*F8^2/(3*Y8)</f>
        <v>1357.3372838273572</v>
      </c>
      <c r="AA8" s="194">
        <f>102*10^4</f>
        <v>1020000</v>
      </c>
      <c r="AB8" s="194">
        <f>26.7*10^4</f>
        <v>267000</v>
      </c>
      <c r="AC8" s="194">
        <v>28.4</v>
      </c>
      <c r="AD8" s="194">
        <v>14.5</v>
      </c>
      <c r="AE8" s="146"/>
      <c r="AF8" s="155"/>
      <c r="AG8" s="153"/>
      <c r="AH8" s="4"/>
      <c r="AI8" s="6"/>
      <c r="AJ8" s="197">
        <f>2*D8*F8^3/3</f>
        <v>36450</v>
      </c>
      <c r="AK8" s="197">
        <f>F8^2*H8/3</f>
        <v>34263</v>
      </c>
      <c r="AL8" s="197"/>
      <c r="AM8" s="197"/>
      <c r="AN8" s="6"/>
    </row>
    <row r="9" spans="1:44" s="5" customFormat="1" ht="15" customHeight="1" x14ac:dyDescent="0.15">
      <c r="A9" s="145"/>
      <c r="B9" s="152"/>
      <c r="C9" s="4"/>
      <c r="D9" s="4"/>
      <c r="E9" s="4"/>
      <c r="F9" s="4"/>
      <c r="G9" s="183"/>
      <c r="H9" s="154"/>
      <c r="I9" s="153"/>
      <c r="J9" s="154"/>
      <c r="K9" s="153"/>
      <c r="L9" s="153"/>
      <c r="M9" s="154"/>
      <c r="N9" s="153"/>
      <c r="O9" s="153"/>
      <c r="P9" s="153"/>
      <c r="Q9" s="155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55"/>
      <c r="AG9" s="153"/>
      <c r="AH9" s="4"/>
      <c r="AI9" s="6"/>
      <c r="AJ9" s="6"/>
      <c r="AK9" s="6"/>
      <c r="AL9" s="6"/>
      <c r="AM9" s="6"/>
      <c r="AN9" s="6"/>
    </row>
    <row r="10" spans="1:44" s="5" customFormat="1" ht="15" customHeight="1" x14ac:dyDescent="0.15">
      <c r="A10" s="145"/>
      <c r="B10" s="152"/>
      <c r="C10" s="4"/>
      <c r="D10" s="4"/>
      <c r="E10" s="4"/>
      <c r="F10" s="4"/>
      <c r="G10" s="183"/>
      <c r="H10" s="154"/>
      <c r="I10" s="153"/>
      <c r="J10" s="154"/>
      <c r="K10" s="153"/>
      <c r="L10" s="153"/>
      <c r="M10" s="154"/>
      <c r="N10" s="153"/>
      <c r="O10" s="153"/>
      <c r="P10" s="153"/>
      <c r="Q10" s="153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55"/>
      <c r="AG10" s="153"/>
      <c r="AH10" s="4"/>
      <c r="AI10" s="6"/>
      <c r="AJ10" s="6"/>
      <c r="AK10" s="6"/>
      <c r="AL10" s="6"/>
      <c r="AM10" s="6"/>
      <c r="AN10" s="6"/>
    </row>
    <row r="11" spans="1:44" s="5" customFormat="1" ht="15" customHeight="1" x14ac:dyDescent="0.15">
      <c r="A11" s="145"/>
      <c r="B11" s="152"/>
      <c r="C11" s="4"/>
      <c r="D11" s="4"/>
      <c r="E11" s="4"/>
      <c r="F11" s="4"/>
      <c r="G11" s="183"/>
      <c r="H11" s="154"/>
      <c r="I11" s="153"/>
      <c r="J11" s="154"/>
      <c r="K11" s="153"/>
      <c r="L11" s="153"/>
      <c r="M11" s="154"/>
      <c r="N11" s="153"/>
      <c r="O11" s="153"/>
      <c r="P11" s="153"/>
      <c r="Q11" s="153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55"/>
      <c r="AG11" s="153"/>
      <c r="AH11" s="4"/>
      <c r="AI11" s="6"/>
      <c r="AJ11" s="6"/>
      <c r="AK11" s="6"/>
      <c r="AL11" s="6"/>
      <c r="AM11" s="6"/>
      <c r="AN11" s="6"/>
    </row>
    <row r="12" spans="1:44" s="5" customFormat="1" ht="15" customHeight="1" x14ac:dyDescent="0.15">
      <c r="A12" s="145"/>
      <c r="B12" s="152"/>
      <c r="C12" s="4"/>
      <c r="D12" s="4"/>
      <c r="E12" s="4"/>
      <c r="F12" s="4"/>
      <c r="G12" s="183"/>
      <c r="H12" s="154"/>
      <c r="I12" s="153"/>
      <c r="J12" s="154"/>
      <c r="K12" s="153"/>
      <c r="L12" s="153"/>
      <c r="M12" s="154"/>
      <c r="N12" s="153"/>
      <c r="O12" s="153"/>
      <c r="P12" s="153"/>
      <c r="Q12" s="153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55"/>
      <c r="AG12" s="153"/>
      <c r="AH12" s="4"/>
      <c r="AI12" s="6"/>
      <c r="AJ12" s="6"/>
      <c r="AK12" s="6"/>
      <c r="AL12" s="6"/>
      <c r="AM12" s="6"/>
      <c r="AN12" s="6"/>
    </row>
    <row r="13" spans="1:44" s="5" customFormat="1" ht="15" customHeight="1" x14ac:dyDescent="0.15">
      <c r="A13" s="145"/>
      <c r="B13" s="152"/>
      <c r="C13" s="4"/>
      <c r="D13" s="4"/>
      <c r="E13" s="4"/>
      <c r="F13" s="4"/>
      <c r="G13" s="153"/>
      <c r="H13" s="154"/>
      <c r="I13" s="153"/>
      <c r="J13" s="154"/>
      <c r="K13" s="153"/>
      <c r="L13" s="153"/>
      <c r="M13" s="154"/>
      <c r="N13" s="153"/>
      <c r="O13" s="153"/>
      <c r="P13" s="153"/>
      <c r="Q13" s="153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55"/>
      <c r="AG13" s="153"/>
      <c r="AH13" s="4"/>
      <c r="AI13" s="6"/>
      <c r="AJ13" s="6"/>
      <c r="AK13" s="6"/>
      <c r="AL13" s="3"/>
      <c r="AM13" s="6"/>
      <c r="AN13" s="6"/>
    </row>
    <row r="14" spans="1:44" s="5" customFormat="1" ht="15" customHeight="1" x14ac:dyDescent="0.15">
      <c r="A14" s="145"/>
      <c r="B14" s="152"/>
      <c r="C14" s="4"/>
      <c r="D14" s="4"/>
      <c r="E14" s="4"/>
      <c r="F14" s="4"/>
      <c r="G14" s="153"/>
      <c r="H14" s="154"/>
      <c r="I14" s="153"/>
      <c r="J14" s="154"/>
      <c r="K14" s="153"/>
      <c r="L14" s="153"/>
      <c r="M14" s="154"/>
      <c r="N14" s="153"/>
      <c r="O14" s="153"/>
      <c r="P14" s="153"/>
      <c r="Q14" s="153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55"/>
      <c r="AG14" s="153"/>
      <c r="AH14" s="4"/>
      <c r="AI14" s="6"/>
      <c r="AJ14" s="6"/>
      <c r="AK14" s="6"/>
      <c r="AL14" s="6"/>
      <c r="AM14" s="6"/>
      <c r="AN14" s="6"/>
      <c r="AR14" s="5" t="s">
        <v>233</v>
      </c>
    </row>
    <row r="15" spans="1:44" s="5" customFormat="1" ht="15" customHeight="1" x14ac:dyDescent="0.15">
      <c r="A15" s="145"/>
      <c r="B15" s="152"/>
      <c r="C15" s="4"/>
      <c r="D15" s="4"/>
      <c r="E15" s="4"/>
      <c r="F15" s="4"/>
      <c r="G15" s="153"/>
      <c r="H15" s="154"/>
      <c r="I15" s="153"/>
      <c r="J15" s="154"/>
      <c r="K15" s="153"/>
      <c r="L15" s="153"/>
      <c r="M15" s="154"/>
      <c r="N15" s="153"/>
      <c r="O15" s="153"/>
      <c r="P15" s="153"/>
      <c r="Q15" s="153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55"/>
      <c r="AG15" s="153"/>
      <c r="AH15" s="4"/>
      <c r="AI15" s="6"/>
      <c r="AJ15" s="6"/>
      <c r="AK15" s="6"/>
      <c r="AL15" s="6"/>
      <c r="AM15" s="6"/>
      <c r="AN15" s="6"/>
    </row>
    <row r="16" spans="1:44" s="5" customFormat="1" ht="15" customHeight="1" x14ac:dyDescent="0.15">
      <c r="A16" s="145"/>
      <c r="B16" s="152"/>
      <c r="C16" s="4"/>
      <c r="D16" s="4"/>
      <c r="E16" s="4"/>
      <c r="F16" s="4"/>
      <c r="G16" s="153"/>
      <c r="H16" s="154"/>
      <c r="I16" s="153"/>
      <c r="J16" s="154"/>
      <c r="K16" s="153"/>
      <c r="L16" s="153"/>
      <c r="M16" s="154"/>
      <c r="N16" s="153"/>
      <c r="O16" s="153"/>
      <c r="P16" s="153"/>
      <c r="Q16" s="153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55"/>
      <c r="AG16" s="153"/>
      <c r="AH16" s="4"/>
      <c r="AI16" s="6"/>
      <c r="AJ16" s="6"/>
      <c r="AK16" s="6"/>
      <c r="AL16" s="6"/>
      <c r="AM16" s="6"/>
      <c r="AN16" s="6"/>
    </row>
    <row r="17" spans="1:40" s="5" customFormat="1" ht="15" customHeight="1" x14ac:dyDescent="0.15">
      <c r="A17" s="145"/>
      <c r="B17" s="152"/>
      <c r="C17" s="4"/>
      <c r="D17" s="4"/>
      <c r="E17" s="4"/>
      <c r="F17" s="4"/>
      <c r="G17" s="153"/>
      <c r="H17" s="154"/>
      <c r="I17" s="153"/>
      <c r="J17" s="154"/>
      <c r="K17" s="153"/>
      <c r="L17" s="153"/>
      <c r="M17" s="154"/>
      <c r="N17" s="153"/>
      <c r="O17" s="153"/>
      <c r="P17" s="153"/>
      <c r="Q17" s="153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55"/>
      <c r="AG17" s="153"/>
      <c r="AH17" s="4"/>
      <c r="AI17" s="6"/>
      <c r="AJ17" s="6"/>
      <c r="AK17" s="6"/>
      <c r="AL17" s="6"/>
      <c r="AM17" s="6"/>
      <c r="AN17" s="6"/>
    </row>
    <row r="18" spans="1:40" s="5" customFormat="1" ht="15" customHeight="1" x14ac:dyDescent="0.15">
      <c r="A18" s="145"/>
      <c r="B18" s="152"/>
      <c r="C18" s="4"/>
      <c r="D18" s="4"/>
      <c r="E18" s="4"/>
      <c r="F18" s="4"/>
      <c r="G18" s="153"/>
      <c r="H18" s="154"/>
      <c r="I18" s="153"/>
      <c r="J18" s="154"/>
      <c r="K18" s="153"/>
      <c r="L18" s="153"/>
      <c r="M18" s="154"/>
      <c r="N18" s="153"/>
      <c r="O18" s="153"/>
      <c r="P18" s="153"/>
      <c r="Q18" s="153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55"/>
      <c r="AG18" s="153"/>
      <c r="AH18" s="4"/>
      <c r="AI18" s="6"/>
      <c r="AJ18" s="6"/>
      <c r="AK18" s="6"/>
      <c r="AL18" s="6"/>
      <c r="AM18" s="6"/>
      <c r="AN18" s="6"/>
    </row>
    <row r="19" spans="1:40" s="5" customFormat="1" ht="15" customHeight="1" x14ac:dyDescent="0.15">
      <c r="A19" s="145"/>
      <c r="B19" s="152"/>
      <c r="C19" s="4"/>
      <c r="D19" s="4"/>
      <c r="E19" s="4"/>
      <c r="F19" s="4"/>
      <c r="G19" s="153"/>
      <c r="H19" s="154"/>
      <c r="I19" s="153"/>
      <c r="J19" s="154"/>
      <c r="K19" s="153"/>
      <c r="L19" s="153"/>
      <c r="M19" s="154"/>
      <c r="N19" s="153"/>
      <c r="O19" s="153"/>
      <c r="P19" s="153"/>
      <c r="Q19" s="153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55"/>
      <c r="AG19" s="153"/>
      <c r="AH19" s="4"/>
      <c r="AI19" s="6"/>
      <c r="AJ19" s="6"/>
      <c r="AK19" s="6"/>
      <c r="AL19" s="6"/>
      <c r="AM19" s="6"/>
      <c r="AN19" s="6"/>
    </row>
    <row r="20" spans="1:40" s="5" customFormat="1" ht="15" customHeight="1" x14ac:dyDescent="0.15">
      <c r="A20" s="145"/>
      <c r="B20" s="152"/>
      <c r="C20" s="4"/>
      <c r="D20" s="4"/>
      <c r="E20" s="4"/>
      <c r="F20" s="4"/>
      <c r="G20" s="153"/>
      <c r="H20" s="154"/>
      <c r="I20" s="153"/>
      <c r="J20" s="154"/>
      <c r="K20" s="153"/>
      <c r="L20" s="153"/>
      <c r="M20" s="154"/>
      <c r="N20" s="153"/>
      <c r="O20" s="153"/>
      <c r="P20" s="153"/>
      <c r="Q20" s="153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55"/>
      <c r="AG20" s="153"/>
      <c r="AH20" s="4"/>
      <c r="AI20" s="6"/>
      <c r="AJ20" s="6"/>
      <c r="AK20" s="6"/>
      <c r="AL20" s="6"/>
      <c r="AM20" s="6"/>
      <c r="AN20" s="6"/>
    </row>
    <row r="24" spans="1:40" ht="15" customHeight="1" x14ac:dyDescent="0.15">
      <c r="AJ24" s="3" t="s">
        <v>251</v>
      </c>
    </row>
    <row r="25" spans="1:40" ht="15" customHeight="1" x14ac:dyDescent="0.15">
      <c r="A25" s="123" t="s">
        <v>240</v>
      </c>
    </row>
    <row r="26" spans="1:40" ht="15" customHeight="1" x14ac:dyDescent="0.15">
      <c r="A26" s="123" t="s">
        <v>246</v>
      </c>
    </row>
    <row r="27" spans="1:40" ht="15" customHeight="1" x14ac:dyDescent="0.15">
      <c r="A27" s="123" t="s">
        <v>247</v>
      </c>
      <c r="AE27" s="176"/>
    </row>
    <row r="28" spans="1:40" ht="15" customHeight="1" x14ac:dyDescent="0.15">
      <c r="A28" s="125"/>
      <c r="AE28" s="176"/>
    </row>
    <row r="29" spans="1:40" ht="15" customHeight="1" x14ac:dyDescent="0.15">
      <c r="A29" s="125"/>
    </row>
    <row r="30" spans="1:40" ht="15" customHeight="1" x14ac:dyDescent="0.15">
      <c r="A30" s="123" t="s">
        <v>242</v>
      </c>
      <c r="B30" s="3"/>
      <c r="V30" s="7"/>
      <c r="W30" s="7"/>
      <c r="X30" s="7"/>
      <c r="Y30" s="7"/>
      <c r="Z30" s="7"/>
      <c r="AA30" s="7"/>
      <c r="AB30" s="7"/>
      <c r="AC30" s="7"/>
      <c r="AD30" s="7"/>
    </row>
    <row r="31" spans="1:40" ht="15" customHeight="1" x14ac:dyDescent="0.15">
      <c r="B31" s="3"/>
    </row>
    <row r="32" spans="1:40" ht="15" customHeight="1" x14ac:dyDescent="0.15">
      <c r="A32" s="123" t="s">
        <v>196</v>
      </c>
      <c r="B32" s="3"/>
      <c r="R32" s="8"/>
      <c r="S32" s="8"/>
      <c r="T32" s="8"/>
      <c r="U32" s="8"/>
    </row>
    <row r="33" spans="2:2" ht="15" customHeight="1" x14ac:dyDescent="0.15">
      <c r="B33" s="3"/>
    </row>
  </sheetData>
  <mergeCells count="17">
    <mergeCell ref="AJ4:AJ5"/>
    <mergeCell ref="AK4:AK5"/>
    <mergeCell ref="AL4:AL5"/>
    <mergeCell ref="AM4:AM5"/>
    <mergeCell ref="S4:S5"/>
    <mergeCell ref="T4:T5"/>
    <mergeCell ref="U4:U5"/>
    <mergeCell ref="Y4:Y5"/>
    <mergeCell ref="W4:W5"/>
    <mergeCell ref="X4:X5"/>
    <mergeCell ref="A1:AH1"/>
    <mergeCell ref="A4:A5"/>
    <mergeCell ref="B4:B5"/>
    <mergeCell ref="C4:F4"/>
    <mergeCell ref="AH4:AH5"/>
    <mergeCell ref="R4:R5"/>
    <mergeCell ref="V4:V5"/>
  </mergeCells>
  <phoneticPr fontId="1" type="noConversion"/>
  <pageMargins left="0.75" right="0.75" top="1" bottom="1" header="0.5" footer="0.5"/>
  <pageSetup paperSize="9" orientation="landscape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History</vt:lpstr>
      <vt:lpstr>Input_disp_check</vt:lpstr>
      <vt:lpstr>Stress_check</vt:lpstr>
      <vt:lpstr>profile_H</vt:lpstr>
      <vt:lpstr>profile_C</vt:lpstr>
      <vt:lpstr>profile_L</vt:lpstr>
      <vt:lpstr>Stress_check!Print_Area</vt:lpstr>
      <vt:lpstr>Input_disp_check!Print_Titles</vt:lpstr>
      <vt:lpstr>Stress_check!Print_Titles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김재동(Kim,JD_건축구조설계팀)</dc:creator>
  <cp:keywords/>
  <dc:description/>
  <cp:lastModifiedBy>김재동(Kim,JD_건축구조설계팀)</cp:lastModifiedBy>
  <cp:revision/>
  <dcterms:created xsi:type="dcterms:W3CDTF">2026-05-19T03:32:47Z</dcterms:created>
  <dcterms:modified xsi:type="dcterms:W3CDTF">2026-05-29T03:57:33Z</dcterms:modified>
  <cp:category/>
  <cp:contentStatus/>
</cp:coreProperties>
</file>